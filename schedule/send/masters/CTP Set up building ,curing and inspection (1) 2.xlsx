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rithvialgo.sharepoint.com/sites/Algo8JKCTP-Algo8_ProductionPlanningandScheduling/Shared Documents/Algo8_Production Planning and Scheduling/Product management/CTP/Changer over &amp; Set up Time/"/>
    </mc:Choice>
  </mc:AlternateContent>
  <xr:revisionPtr revIDLastSave="224" documentId="13_ncr:1_{D08AF312-50A9-4A7C-AADD-2DC5FB256972}" xr6:coauthVersionLast="47" xr6:coauthVersionMax="47" xr10:uidLastSave="{F04C3AF5-9CCD-42B6-BB3B-F22E16E969A9}"/>
  <bookViews>
    <workbookView xWindow="-108" yWindow="-108" windowWidth="23256" windowHeight="12456" firstSheet="4" activeTab="4" xr2:uid="{A493F68D-2913-4443-BA3F-381C53B08A0E}"/>
  </bookViews>
  <sheets>
    <sheet name="Change_set up" sheetId="1" state="hidden" r:id="rId1"/>
    <sheet name="PCR Curing" sheetId="3" r:id="rId2"/>
    <sheet name="Sheet1" sheetId="8" r:id="rId3"/>
    <sheet name="TBR Curing" sheetId="2" r:id="rId4"/>
    <sheet name="Sheet2" sheetId="9" r:id="rId5"/>
    <sheet name="TBR Building" sheetId="5" r:id="rId6"/>
    <sheet name="PCR BUILDING" sheetId="4" r:id="rId7"/>
    <sheet name="TBR X ray and uniformity CT" sheetId="6" r:id="rId8"/>
    <sheet name="TBR 1st and 2nd line inspection" sheetId="7" r:id="rId9"/>
  </sheets>
  <externalReferences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</externalReferences>
  <definedNames>
    <definedName name="\0">#REF!</definedName>
    <definedName name="\a">#REF!</definedName>
    <definedName name="\b">#REF!</definedName>
    <definedName name="\d">#REF!</definedName>
    <definedName name="\e">#REF!</definedName>
    <definedName name="\f">#REF!</definedName>
    <definedName name="\m">#REF!</definedName>
    <definedName name="\n">[1]CYCLE2!#REF!</definedName>
    <definedName name="\P">#REF!</definedName>
    <definedName name="\S">#REF!</definedName>
    <definedName name="\T">#REF!</definedName>
    <definedName name="\x">#REF!</definedName>
    <definedName name="\Z">#REF!</definedName>
    <definedName name="__123Graph_A" hidden="1">#REF!</definedName>
    <definedName name="__123Graph_B" hidden="1">#REF!</definedName>
    <definedName name="__123Graph_C" hidden="1">[2]bbc!$AL$9:$AL$50</definedName>
    <definedName name="__123Graph_D" hidden="1">#REF!</definedName>
    <definedName name="__123Graph_E" hidden="1">[3]biasraw!#REF!</definedName>
    <definedName name="__123Graph_F" hidden="1">#REF!</definedName>
    <definedName name="__123Graph_X" hidden="1">#REF!</definedName>
    <definedName name="__mac1">[4]Plan_Internal!XEY1+[4]Plan_Internal!XEZ1</definedName>
    <definedName name="__mac2">[4]pLAN_ho!$M1+[4]pLAN_ho!$N1</definedName>
    <definedName name="__pdt1">9/100</definedName>
    <definedName name="_1">[5]A!#REF!</definedName>
    <definedName name="_1_123Grap" hidden="1">[6]BB!#REF!</definedName>
    <definedName name="_15_0fo." hidden="1">#REF!</definedName>
    <definedName name="_16_0fo." hidden="1">[7]INDEX!#REF!</definedName>
    <definedName name="_1997_98">#REF!</definedName>
    <definedName name="_1P">#REF!</definedName>
    <definedName name="_2">[5]A!#REF!</definedName>
    <definedName name="_2P">#REF!</definedName>
    <definedName name="_3_0_0__123Grap" hidden="1">#REF!</definedName>
    <definedName name="_3P">#REF!</definedName>
    <definedName name="_40_0_0__123Grap" hidden="1">#REF!</definedName>
    <definedName name="_41_0_0__123Grap" hidden="1">[6]BB!#REF!</definedName>
    <definedName name="_42_0_0__123Grap" hidden="1">[6]BB!#REF!</definedName>
    <definedName name="_5_0_0__123Grap" hidden="1">[6]BB!#REF!</definedName>
    <definedName name="_5_0fo." hidden="1">#REF!</definedName>
    <definedName name="_6_0_0__123Grap" hidden="1">[6]BB!#REF!</definedName>
    <definedName name="_6fo." hidden="1">#REF!</definedName>
    <definedName name="_81_0fo." hidden="1">#REF!</definedName>
    <definedName name="_82_0fo." hidden="1">#REF!</definedName>
    <definedName name="_83_0fo." hidden="1">#REF!</definedName>
    <definedName name="_Fill" hidden="1">#REF!</definedName>
    <definedName name="_Key1" hidden="1">#REF!</definedName>
    <definedName name="_Key2" hidden="1">#REF!</definedName>
    <definedName name="_mac1">[4]Plan_Internal!XEY1+[4]Plan_Internal!XEZ1</definedName>
    <definedName name="_mac2">[4]pLAN_ho!$M1+[4]pLAN_ho!$N1</definedName>
    <definedName name="_Order1" hidden="1">255</definedName>
    <definedName name="_Order2" hidden="1">255</definedName>
    <definedName name="_Parse_Out" hidden="1">#REF!</definedName>
    <definedName name="_pdt1">9/100</definedName>
    <definedName name="_Sort" hidden="1">#REF!</definedName>
    <definedName name="A">#REF!</definedName>
    <definedName name="A9013_">#REF!</definedName>
    <definedName name="AA">#REF!</definedName>
    <definedName name="ab">#REF!</definedName>
    <definedName name="AD">#REF!</definedName>
    <definedName name="ANGLE">#REF!</definedName>
    <definedName name="ANNEXURE1">#REF!</definedName>
    <definedName name="as">#REF!</definedName>
    <definedName name="ASD">#REF!</definedName>
    <definedName name="ASUMPTION">#REF!</definedName>
    <definedName name="B">#REF!</definedName>
    <definedName name="B101_">#REF!</definedName>
    <definedName name="B102_">#REF!</definedName>
    <definedName name="B103_">#REF!</definedName>
    <definedName name="B109_">#REF!</definedName>
    <definedName name="B127_">#REF!</definedName>
    <definedName name="B143_">#REF!</definedName>
    <definedName name="B147_">#REF!</definedName>
    <definedName name="B159_">#REF!</definedName>
    <definedName name="B170_">#REF!</definedName>
    <definedName name="B190_">#REF!</definedName>
    <definedName name="B54_">#REF!</definedName>
    <definedName name="B55_">#REF!</definedName>
    <definedName name="B62_">#REF!</definedName>
    <definedName name="B89_">#REF!</definedName>
    <definedName name="band2" hidden="1">{#N/A,#N/A,FALSE,"canteen";#N/A,#N/A,FALSE,"Cash_comp.";#N/A,#N/A,FALSE,"Summary"}</definedName>
    <definedName name="BD">0.6</definedName>
    <definedName name="BF">#REF!</definedName>
    <definedName name="BM">#REF!</definedName>
    <definedName name="BP">#REF!</definedName>
    <definedName name="brinrl">27</definedName>
    <definedName name="BuiltIn_Print_Area">#REF!</definedName>
    <definedName name="BuiltIn_Print_Area___0">#REF!</definedName>
    <definedName name="C_">#REF!</definedName>
    <definedName name="C_EXP_96_97">#REF!</definedName>
    <definedName name="C_EXP_97">#REF!</definedName>
    <definedName name="C_EXP_98">#REF!</definedName>
    <definedName name="C_EXP_COUNTRY">#REF!</definedName>
    <definedName name="C_EXP_PRODUCT">#REF!</definedName>
    <definedName name="cae">#REF!</definedName>
    <definedName name="Compd.">#REF!</definedName>
    <definedName name="CONST_TABLE">[8]Reference!$I$3:$I$17</definedName>
    <definedName name="CONT9899">#REF!</definedName>
    <definedName name="CONTROL_CHART">#REF!</definedName>
    <definedName name="COSTSHEET">#REF!</definedName>
    <definedName name="CURPI1">435</definedName>
    <definedName name="CURPI2">435</definedName>
    <definedName name="CURPI3">419</definedName>
    <definedName name="CURPI4">413</definedName>
    <definedName name="D">#REF!</definedName>
    <definedName name="_xlnm.Database">#REF!</definedName>
    <definedName name="DEPRECIATION">#REF!</definedName>
    <definedName name="DIST">#REF!</definedName>
    <definedName name="DPQ">#REF!</definedName>
    <definedName name="E">#REF!</definedName>
    <definedName name="EA">#REF!</definedName>
    <definedName name="enggm">VLOOKUP(TEXT(#REF!,0),#REF!,9,)</definedName>
    <definedName name="enggt">VLOOKUP(TEXT(#REF!,0),#REF!,4,)</definedName>
    <definedName name="ETHYAL">#REF!</definedName>
    <definedName name="EXCISE">#REF!</definedName>
    <definedName name="EXP97HO">#REF!</definedName>
    <definedName name="EXPCOUNT96">#REF!</definedName>
    <definedName name="EXPROD96_97">#REF!</definedName>
    <definedName name="F">#REF!</definedName>
    <definedName name="FA">#REF!</definedName>
    <definedName name="FABWID">54*2.54/100</definedName>
    <definedName name="FABWIDTH">56*2.54/100</definedName>
    <definedName name="FAEXP">#REF!</definedName>
    <definedName name="FAPL">#REF!</definedName>
    <definedName name="FD">#REF!</definedName>
    <definedName name="fo.xls" hidden="1">#REF!</definedName>
    <definedName name="FS">#REF!</definedName>
    <definedName name="FS_CF">2</definedName>
    <definedName name="FS_RL">50</definedName>
    <definedName name="G">#REF!</definedName>
    <definedName name="GGG">#REF!</definedName>
    <definedName name="H">#REF!</definedName>
    <definedName name="HEXA">#REF!</definedName>
    <definedName name="HTML_CodePage" hidden="1">1252</definedName>
    <definedName name="HTML_Control" hidden="1">{"'Sheet1'!$A$1:$H$30"}</definedName>
    <definedName name="HTML_Description" hidden="1">""</definedName>
    <definedName name="HTML_Email" hidden="1">"techrtp@vikrant.com"</definedName>
    <definedName name="HTML_Header" hidden="1">"TCRPRS-09 / ISSUE NO-33"</definedName>
    <definedName name="HTML_LastUpdate" hidden="1">"29/8/02"</definedName>
    <definedName name="HTML_LineAfter" hidden="1">FALSE</definedName>
    <definedName name="HTML_LineBefore" hidden="1">FALSE</definedName>
    <definedName name="HTML_Name" hidden="1">"RTP"</definedName>
    <definedName name="HTML_OBDlg2" hidden="1">TRUE</definedName>
    <definedName name="HTML_OBDlg4" hidden="1">TRUE</definedName>
    <definedName name="HTML_OS" hidden="1">0</definedName>
    <definedName name="HTML_PathFile" hidden="1">"C:\My Documents\UPDATE ON TYRE WEIGHTS"</definedName>
    <definedName name="HTML_Title" hidden="1">"UPDATE ON RADIAL TYRE WEIGHTS"</definedName>
    <definedName name="I">[1]Dip_4roll!#REF!</definedName>
    <definedName name="J">#REF!</definedName>
    <definedName name="jan">#REF!</definedName>
    <definedName name="jjjjj">#REF!</definedName>
    <definedName name="K">#REF!</definedName>
    <definedName name="kjj" hidden="1">#REF!</definedName>
    <definedName name="kk" hidden="1">[2]bbc!$AL$9:$AL$50</definedName>
    <definedName name="kl" hidden="1">#REF!</definedName>
    <definedName name="ktp" hidden="1">{#N/A,#N/A,FALSE,"canteen";#N/A,#N/A,FALSE,"Cash_comp.";#N/A,#N/A,FALSE,"Summary"}</definedName>
    <definedName name="L">[9]othman!#REF!</definedName>
    <definedName name="lo">[10]othman!#REF!</definedName>
    <definedName name="M">[1]CYCLE1!#REF!</definedName>
    <definedName name="MENU">#REF!</definedName>
    <definedName name="MISC.EXPENSES">#REF!</definedName>
    <definedName name="NEW">#REF!</definedName>
    <definedName name="nn">#REF!</definedName>
    <definedName name="NOTES">#REF!</definedName>
    <definedName name="oo" hidden="1">[11]INDEX!#REF!</definedName>
    <definedName name="ooo" hidden="1">[11]INDEX!#REF!</definedName>
    <definedName name="othm">VLOOKUP(TEXT(#REF!,0),#REF!,11,)</definedName>
    <definedName name="otht">VLOOKUP(TEXT(#REF!,0),#REF!,6,)</definedName>
    <definedName name="PAGE_NO_4">#REF!</definedName>
    <definedName name="PCHDT">1.48/100</definedName>
    <definedName name="pdt">0.075</definedName>
    <definedName name="PFUEL">#REF!</definedName>
    <definedName name="PLSUM">#REF!</definedName>
    <definedName name="PM">0.4</definedName>
    <definedName name="POWER_FUEL">#REF!</definedName>
    <definedName name="PP">#REF!</definedName>
    <definedName name="_xlnm.Print_Area" localSheetId="0">'Change_set up'!$A$1:$G$87</definedName>
    <definedName name="_xlnm.Print_Area">#REF!</definedName>
    <definedName name="PRINT_AREA_MI">#REF!</definedName>
    <definedName name="_xlnm.Print_Titles" localSheetId="0">'Change_set up'!$1:$3</definedName>
    <definedName name="_xlnm.Print_Titles">#REF!</definedName>
    <definedName name="PROD">[12]ALCO!#REF!</definedName>
    <definedName name="PROD9899">#REF!</definedName>
    <definedName name="prodm">VLOOKUP(TEXT(#REF!,0),#REF!,7,)</definedName>
    <definedName name="prodm1">VLOOKUP(TEXT(#REF!,0),#REF!,13,)</definedName>
    <definedName name="PRODSALES">#REF!</definedName>
    <definedName name="PRODT">VLOOKUP(TEXT(#REF!,0),#REF!,2,)</definedName>
    <definedName name="PRODT1">VLOOKUP(TEXT(#REF!,0),#REF!,12,)</definedName>
    <definedName name="pur" hidden="1">{#N/A,#N/A,FALSE,"canteen";#N/A,#N/A,FALSE,"Cash_comp.";#N/A,#N/A,FALSE,"Summary"}</definedName>
    <definedName name="Q">#REF!</definedName>
    <definedName name="RAWMATERIALS">#REF!</definedName>
    <definedName name="RCOMP">#REF!+#REF!</definedName>
    <definedName name="RCOMPVA">#REF!+#REF!</definedName>
    <definedName name="REPAIRS">#REF!</definedName>
    <definedName name="rmLOAD">{27,34,39}</definedName>
    <definedName name="roll3_ln">42/44*70</definedName>
    <definedName name="s">#REF!</definedName>
    <definedName name="SALARY_WAGES">#REF!</definedName>
    <definedName name="SALES_INCOME">#REF!</definedName>
    <definedName name="setuom">VLOOKUP(TEXT(#REF!,0),#REF!,10,)</definedName>
    <definedName name="setupt">VLOOKUP(TEXT(#REF!,0),#REF!,5,)</definedName>
    <definedName name="Sft">480</definedName>
    <definedName name="shift">VLOOKUP(TEXT(#REF!,0),#REF!,3,)</definedName>
    <definedName name="shiftm">VLOOKUP(TEXT(#REF!,0),#REF!,8,)</definedName>
    <definedName name="Start18">#REF!</definedName>
    <definedName name="Start20">#REF!</definedName>
    <definedName name="Start21">#REF!</definedName>
    <definedName name="Start22">#REF!</definedName>
    <definedName name="STORESCONSUMPTI">#REF!</definedName>
    <definedName name="SUMCON">#REF!</definedName>
    <definedName name="tt">#REF!</definedName>
    <definedName name="tubetime">450</definedName>
    <definedName name="tyre">480</definedName>
    <definedName name="u7g7">#REF!</definedName>
    <definedName name="vaithi">#REF!</definedName>
    <definedName name="VARAA">#REF!</definedName>
    <definedName name="VARAD">#REF!</definedName>
    <definedName name="VARBF">#REF!</definedName>
    <definedName name="VARBP">#REF!</definedName>
    <definedName name="VARDIST">#REF!</definedName>
    <definedName name="VAREA">#REF!</definedName>
    <definedName name="VARFA">#REF!</definedName>
    <definedName name="VARFAA">#REF!</definedName>
    <definedName name="VARFD">#REF!</definedName>
    <definedName name="VARHEXA">#REF!</definedName>
    <definedName name="VARPENTA">#REF!</definedName>
    <definedName name="VARSUM">#REF!</definedName>
    <definedName name="VARWIND">#REF!</definedName>
    <definedName name="W">#REF!</definedName>
    <definedName name="wday">31</definedName>
    <definedName name="wdays">23</definedName>
    <definedName name="WIND">#REF!</definedName>
    <definedName name="WRK">1462</definedName>
    <definedName name="wrn.Canteen." hidden="1">{#N/A,#N/A,FALSE,"canteen";#N/A,#N/A,FALSE,"Cash_comp.";#N/A,#N/A,FALSE,"Summary"}</definedName>
    <definedName name="x">#REF!</definedName>
    <definedName name="XXX">[13]CBR!$A$1:$P$75</definedName>
    <definedName name="Y">#REF!</definedName>
    <definedName name="Year">[14]INPUT!$C$7</definedName>
    <definedName name="Z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" i="5" l="1"/>
  <c r="G13" i="3" l="1"/>
  <c r="D13" i="3"/>
  <c r="L12" i="3"/>
  <c r="L11" i="3"/>
  <c r="L10" i="3"/>
  <c r="L9" i="3"/>
  <c r="L8" i="3"/>
  <c r="L7" i="3"/>
  <c r="L6" i="3"/>
  <c r="L5" i="3"/>
  <c r="L4" i="3"/>
  <c r="C4" i="3"/>
  <c r="C5" i="3" s="1"/>
  <c r="C6" i="3" s="1"/>
  <c r="C7" i="3" s="1"/>
  <c r="C8" i="3" s="1"/>
  <c r="C9" i="3" s="1"/>
  <c r="C10" i="3" s="1"/>
  <c r="C11" i="3" s="1"/>
  <c r="L3" i="3"/>
  <c r="E6" i="2" l="1"/>
  <c r="E5" i="2"/>
  <c r="O58" i="1"/>
  <c r="M63" i="1"/>
  <c r="M45" i="1"/>
  <c r="M46" i="1" s="1"/>
  <c r="I56" i="1"/>
  <c r="I55" i="1"/>
  <c r="I43" i="1"/>
  <c r="I42" i="1"/>
  <c r="I44" i="1" s="1"/>
  <c r="I45" i="1" s="1"/>
  <c r="I57" i="1" l="1"/>
  <c r="I58" i="1" s="1"/>
  <c r="K45" i="1"/>
  <c r="I59" i="1"/>
  <c r="I63" i="1" s="1"/>
  <c r="A58" i="1" l="1"/>
  <c r="A60" i="1" s="1"/>
  <c r="A66" i="1" s="1"/>
  <c r="A69" i="1" s="1"/>
  <c r="A75" i="1" s="1"/>
  <c r="A77" i="1" s="1"/>
  <c r="A78" i="1" s="1"/>
  <c r="A83" i="1" s="1"/>
  <c r="A85" i="1" s="1"/>
  <c r="A86" i="1" s="1"/>
  <c r="A87" i="1" s="1"/>
  <c r="A8" i="1"/>
  <c r="A10" i="1" s="1"/>
  <c r="A14" i="1" s="1"/>
  <c r="A18" i="1" s="1"/>
  <c r="A23" i="1" s="1"/>
  <c r="A33" i="1" l="1"/>
  <c r="A38" i="1" s="1"/>
  <c r="A25" i="1"/>
</calcChain>
</file>

<file path=xl/sharedStrings.xml><?xml version="1.0" encoding="utf-8"?>
<sst xmlns="http://schemas.openxmlformats.org/spreadsheetml/2006/main" count="652" uniqueCount="276">
  <si>
    <t>JK-CTP-IED</t>
  </si>
  <si>
    <t>S.
No</t>
  </si>
  <si>
    <t>Machine</t>
  </si>
  <si>
    <t>Description</t>
  </si>
  <si>
    <t>UOM</t>
  </si>
  <si>
    <t>Time /change</t>
  </si>
  <si>
    <t>-Ve</t>
  </si>
  <si>
    <t>No Change</t>
  </si>
  <si>
    <t>Mixing</t>
  </si>
  <si>
    <t>Final Mixer</t>
  </si>
  <si>
    <t>1) Compound Changeover</t>
  </si>
  <si>
    <t>Sec</t>
  </si>
  <si>
    <t>-</t>
  </si>
  <si>
    <t>Master  Mixer</t>
  </si>
  <si>
    <t>Calendar, Cutters &amp; Slitters</t>
  </si>
  <si>
    <t>4 Roll Calendar</t>
  </si>
  <si>
    <t>1) Steel to Steel Changeover</t>
  </si>
  <si>
    <t>Mins</t>
  </si>
  <si>
    <t>2) Fabric to Steel Changeover</t>
  </si>
  <si>
    <t>PCR - Roller Head Calendar</t>
  </si>
  <si>
    <t>1) Line Compound Changeover</t>
  </si>
  <si>
    <t>EBR</t>
  </si>
  <si>
    <t>1) Let off Cassette Changeover</t>
  </si>
  <si>
    <t>Belt Cutter # 2</t>
  </si>
  <si>
    <t>1)Belt Cutter # 2 - Setup &amp; Adjustment</t>
  </si>
  <si>
    <t>PCR - Cap Strip Slitter # 2</t>
  </si>
  <si>
    <t>1) Let off Changeover time</t>
  </si>
  <si>
    <t>PCR - Cap Ply Cutter</t>
  </si>
  <si>
    <t>1) Edge Gum to Edge gum (Same Width) Changeover time</t>
  </si>
  <si>
    <t xml:space="preserve">gum  width change from 350mm to 740mm </t>
  </si>
  <si>
    <t>2) Edge Gum to Edge gum (Different Width) Changeover time</t>
  </si>
  <si>
    <t xml:space="preserve">Gum width change from 350mm to 740mm </t>
  </si>
  <si>
    <t>3) Edge Gum to Cap-ply Changeover time</t>
  </si>
  <si>
    <t>4) Cap-ply to Cap-ply Changeover time</t>
  </si>
  <si>
    <t>TBR - Body Ply Cutter</t>
  </si>
  <si>
    <t>1) Setup &amp; Roll Change Time</t>
  </si>
  <si>
    <t>TBR - Roller Head Calendar</t>
  </si>
  <si>
    <t>1) Sleeve Changeover (Edge Gum to IL)</t>
  </si>
  <si>
    <t>2) Inner Liner to Squeege Changeover</t>
  </si>
  <si>
    <t>3) Squeege to Inner Liner Changeover</t>
  </si>
  <si>
    <t>Extruder</t>
  </si>
  <si>
    <t xml:space="preserve">Quintoplex Extruder </t>
  </si>
  <si>
    <t>1) Cushion Compound Changeover</t>
  </si>
  <si>
    <t>BEF Extruder</t>
  </si>
  <si>
    <t>1) Total Startup time</t>
  </si>
  <si>
    <t>Duplex Extruder</t>
  </si>
  <si>
    <t>1) Compound Changeover (With Barrel Push out)</t>
  </si>
  <si>
    <t>1) Compound Changeover (Without Barrel Push out)</t>
  </si>
  <si>
    <t>Quadraplex Extruder</t>
  </si>
  <si>
    <t>1) Die Changeover</t>
  </si>
  <si>
    <t>2) Die &amp; Preformer Changeover</t>
  </si>
  <si>
    <t xml:space="preserve">3) Sidewall to Sidewall Changeover </t>
  </si>
  <si>
    <t>4)Sidewall to Shoulderpad Changeover</t>
  </si>
  <si>
    <t>5)Shoulderpad to Sidewall Changeover</t>
  </si>
  <si>
    <t>PCR Stock</t>
  </si>
  <si>
    <t>Bead Winding - Allwell</t>
  </si>
  <si>
    <t>1) Former Wheel Change</t>
  </si>
  <si>
    <t>2) Spool Change</t>
  </si>
  <si>
    <t>3) 3*6 Spools to 4*5 Spools &amp; Die Change</t>
  </si>
  <si>
    <t>4) 4*4 Spools to 4*5 Spools &amp; Die Change</t>
  </si>
  <si>
    <t>TBR Stock</t>
  </si>
  <si>
    <t>Super Assembly</t>
  </si>
  <si>
    <t>1) Loading &amp; Unloading Time per PA Cassette</t>
  </si>
  <si>
    <t>TDA</t>
  </si>
  <si>
    <t>Cycle Time Per Bead Apex - 20 Inches</t>
  </si>
  <si>
    <t>sec</t>
  </si>
  <si>
    <t>Cycle Time Per Bead Apex - 22.5 Inches</t>
  </si>
  <si>
    <t>PCR Building</t>
  </si>
  <si>
    <t>PCR Building -  Cycle Time with Allowance</t>
  </si>
  <si>
    <t>195/65R15_UX ROYALE_91H TL TST</t>
  </si>
  <si>
    <t>215/60 R17_UX ROYALE_96 H TL</t>
  </si>
  <si>
    <t>2) Allowance</t>
  </si>
  <si>
    <t>%</t>
  </si>
  <si>
    <t>PCR Building Changeover - Conti</t>
  </si>
  <si>
    <t>1) Within Inch- Only Material Change over</t>
  </si>
  <si>
    <t>TBR Building -Changeover</t>
  </si>
  <si>
    <t>1) Setup Change with 2 Materials</t>
  </si>
  <si>
    <t>P</t>
  </si>
  <si>
    <t>624 minutes</t>
  </si>
  <si>
    <t>208 Tyres</t>
  </si>
  <si>
    <t>2) Setup Change with Circumference Change upto 4 Materials</t>
  </si>
  <si>
    <t>3)Setup Change with more than 4 Materials for same sizes</t>
  </si>
  <si>
    <t>3) Size Change (One size to another size)</t>
  </si>
  <si>
    <t>552 minutes</t>
  </si>
  <si>
    <t>184 Tyres</t>
  </si>
  <si>
    <t>PCR Curing</t>
  </si>
  <si>
    <t>Loading+ Unloading Time</t>
  </si>
  <si>
    <t>Loading+ Unloading Time - 36"Press</t>
  </si>
  <si>
    <t>Loading+ Unloading Time - 45"Press</t>
  </si>
  <si>
    <t>Loading+ Unloading Time - 46"Press</t>
  </si>
  <si>
    <t>Loading+ Unloading Time - 48"Press</t>
  </si>
  <si>
    <t>TBR Building</t>
  </si>
  <si>
    <t>TBR Building -  Cycle Time with Allowance</t>
  </si>
  <si>
    <t>1) Cycle Time</t>
  </si>
  <si>
    <t>TBR Curing</t>
  </si>
  <si>
    <t>Loading+ Unloading Time - L &amp; T</t>
  </si>
  <si>
    <t>1) Loading+ Unloading Time - L &amp; T Press</t>
  </si>
  <si>
    <t>PCR QA</t>
  </si>
  <si>
    <t>PCR QA - Setup Change</t>
  </si>
  <si>
    <t>1) Setup Change (R12 - R16 inch)</t>
  </si>
  <si>
    <t>2) Setup Change (R17 - R20 inch)</t>
  </si>
  <si>
    <t>TBR QA</t>
  </si>
  <si>
    <t>TBR QA - X-Ray</t>
  </si>
  <si>
    <t>1) X-ray Coin Calibration Verification - Image Reference</t>
  </si>
  <si>
    <t>2)1-X-ray coupled with 2-Runout &amp; Imbalance Machines</t>
  </si>
  <si>
    <t xml:space="preserve">3) X-ray Coin Calibration - Calibration tire &amp; tool preparation (Kit Pre-Assembly) </t>
  </si>
  <si>
    <t>4) X-ray Coin Calibration without Kit Pre-Assembly</t>
  </si>
  <si>
    <t>5) X-ray Coin Calibration with Kit Pre-Assembly</t>
  </si>
  <si>
    <t>6) X-ray Recipe Creation</t>
  </si>
  <si>
    <t>TBR QA - Run Out</t>
  </si>
  <si>
    <t>1) Master tyre check (1 X 3)</t>
  </si>
  <si>
    <t>2) Machine gain &amp; tooling Calibration</t>
  </si>
  <si>
    <t>TBR QA - Uniformity</t>
  </si>
  <si>
    <t>TBR QA - Shearography</t>
  </si>
  <si>
    <t>1) Crown Measurement in 3 sectors</t>
  </si>
  <si>
    <t>2) Crown Measurement in 4 sectors</t>
  </si>
  <si>
    <t>3) Bead to Bead Measurement in 4 sectors</t>
  </si>
  <si>
    <t>4) Bead to Bead Measurement in 5 sectors</t>
  </si>
  <si>
    <t>5) Bead to Bead Measurement in 6 sectors</t>
  </si>
  <si>
    <t>TBR QA - Second Line Visual Inspection</t>
  </si>
  <si>
    <t>1) Lot Inspection</t>
  </si>
  <si>
    <t>2) Ture to &amp; Fro movement from Lot sampling storage area &amp; IIOT adherence</t>
  </si>
  <si>
    <t>TBR QA - Outsourced Product - Tube Inspection</t>
  </si>
  <si>
    <t>1) Tube Inspection</t>
  </si>
  <si>
    <t>TBR QA - Outsourced Product - Flap Inspection</t>
  </si>
  <si>
    <t>1) Flap Inspection</t>
  </si>
  <si>
    <t>TBR QA - Pre Dispatch Inspection</t>
  </si>
  <si>
    <t>1) Pre Despatch Inspection</t>
  </si>
  <si>
    <t xml:space="preserve">PCR Curing - Type of Mould Changeover </t>
  </si>
  <si>
    <t>Type of Press</t>
  </si>
  <si>
    <t>Make</t>
  </si>
  <si>
    <t>S.No</t>
  </si>
  <si>
    <t>Changeover Type</t>
  </si>
  <si>
    <t>Platen dia.</t>
  </si>
  <si>
    <t>Press No.</t>
  </si>
  <si>
    <t>No. of Press</t>
  </si>
  <si>
    <t>Tyre Size</t>
  </si>
  <si>
    <t>Warm up</t>
  </si>
  <si>
    <t xml:space="preserve">Mould change time/set up </t>
  </si>
  <si>
    <t>PCI Rim change</t>
  </si>
  <si>
    <t>Total time in min</t>
  </si>
  <si>
    <t>Remarks</t>
  </si>
  <si>
    <t>Mechanical Press</t>
  </si>
  <si>
    <t>L&amp;T</t>
  </si>
  <si>
    <t>2 Piece Mould Changeover</t>
  </si>
  <si>
    <t xml:space="preserve">36 inch </t>
  </si>
  <si>
    <t>3609 - 3616</t>
  </si>
  <si>
    <t>12-14 inch</t>
  </si>
  <si>
    <t>4 hrs</t>
  </si>
  <si>
    <t>2 piece</t>
  </si>
  <si>
    <t xml:space="preserve">45 inch </t>
  </si>
  <si>
    <t>4501-4515</t>
  </si>
  <si>
    <t>12-16 inch</t>
  </si>
  <si>
    <t>6 hrs</t>
  </si>
  <si>
    <t>segment</t>
  </si>
  <si>
    <t>2 piece Mould Changeover with Rim Change</t>
  </si>
  <si>
    <t>Ater Rim change only mould fixing will be started</t>
  </si>
  <si>
    <t>Segment Mould Changeover</t>
  </si>
  <si>
    <t>Segment Mould Changeover with Rim Change</t>
  </si>
  <si>
    <t>Hydraulic Press</t>
  </si>
  <si>
    <t>HF</t>
  </si>
  <si>
    <t>46 inch</t>
  </si>
  <si>
    <t>4601-4610</t>
  </si>
  <si>
    <t>12-17 inch</t>
  </si>
  <si>
    <t>Mesnac</t>
  </si>
  <si>
    <t xml:space="preserve">48 inch </t>
  </si>
  <si>
    <t>4801-4853</t>
  </si>
  <si>
    <t>14-20 inch</t>
  </si>
  <si>
    <t>stepped rim</t>
  </si>
  <si>
    <t>All</t>
  </si>
  <si>
    <t>Bladder Changeover</t>
  </si>
  <si>
    <t>Total type of Changeover</t>
  </si>
  <si>
    <t>Total Press</t>
  </si>
  <si>
    <t>Machine ID</t>
  </si>
  <si>
    <t xml:space="preserve">Platent Dia (Inch) </t>
  </si>
  <si>
    <t xml:space="preserve">Change over Description </t>
  </si>
  <si>
    <t>Mold change over in M</t>
  </si>
  <si>
    <t>12-14 inch (L&amp;T) Press</t>
  </si>
  <si>
    <t>12-16 inch (L&amp;T) Press</t>
  </si>
  <si>
    <t>12-17 inch (HF) Press</t>
  </si>
  <si>
    <t>14-20 inch(Mesnac) Press</t>
  </si>
  <si>
    <t>15-20 inch(Mesnac) Press</t>
  </si>
  <si>
    <t>Tool change/Set up and adjustment</t>
  </si>
  <si>
    <t xml:space="preserve">TBR Curing Mould Changeover with Bladder Change (in Mins) </t>
  </si>
  <si>
    <t>Dummy cycle(in Min)</t>
  </si>
  <si>
    <t>Warm Up</t>
  </si>
  <si>
    <t xml:space="preserve"> Change &amp; Set-up time of Moulds.</t>
  </si>
  <si>
    <t xml:space="preserve"> Change &amp; Set-up time of Bladder (two).</t>
  </si>
  <si>
    <t xml:space="preserve">Machine ID </t>
  </si>
  <si>
    <t>Mould change over in Min</t>
  </si>
  <si>
    <t>Annexures :</t>
  </si>
  <si>
    <t>Date:</t>
  </si>
  <si>
    <t>14.08.2025</t>
  </si>
  <si>
    <t>JK CTP</t>
  </si>
  <si>
    <t>TBR Tyre Building - Change Over</t>
  </si>
  <si>
    <t>Job</t>
  </si>
  <si>
    <t>Cycle Time (Min.)</t>
  </si>
  <si>
    <t>MachineCode</t>
  </si>
  <si>
    <t>Setup Change with 2 Materials</t>
  </si>
  <si>
    <t>Semi - Auto</t>
  </si>
  <si>
    <t>Setup Change with Circumference Change upto 4 Materials</t>
  </si>
  <si>
    <t>Same Size</t>
  </si>
  <si>
    <t>Different Size</t>
  </si>
  <si>
    <t>Setup Change with more than 4 Materials for same sizes</t>
  </si>
  <si>
    <t>20 inch 1 to 3</t>
  </si>
  <si>
    <t>TBM 01</t>
  </si>
  <si>
    <t>SAV</t>
  </si>
  <si>
    <t>Size Change (One size to another size)</t>
  </si>
  <si>
    <t>22.5 &amp; 20 inch 4 to 6</t>
  </si>
  <si>
    <t>TBM 02</t>
  </si>
  <si>
    <t>TBM 03</t>
  </si>
  <si>
    <t xml:space="preserve">manpower 3 </t>
  </si>
  <si>
    <t>TBM 04</t>
  </si>
  <si>
    <t>MESNAC</t>
  </si>
  <si>
    <t>TBM 05</t>
  </si>
  <si>
    <t>Setup Change</t>
  </si>
  <si>
    <t>TBM 06</t>
  </si>
  <si>
    <t>Size Change</t>
  </si>
  <si>
    <t>TBM 07</t>
  </si>
  <si>
    <t>TBM 08</t>
  </si>
  <si>
    <t>TBM 09</t>
  </si>
  <si>
    <t>01.08.2025</t>
  </si>
  <si>
    <t>PCR Building - Setup &amp; Adjustment Time - Conti Machine</t>
  </si>
  <si>
    <t>PCR Building - Setup &amp; Adjustment Time - BJ Machines</t>
  </si>
  <si>
    <t>Manning - 3 operators</t>
  </si>
  <si>
    <t>Manning - 3 Operators</t>
  </si>
  <si>
    <t>Machine id</t>
  </si>
  <si>
    <t xml:space="preserve"> Same Size</t>
  </si>
  <si>
    <t>S.No.</t>
  </si>
  <si>
    <t>Cycle time
(Mins.)</t>
  </si>
  <si>
    <t>BJ</t>
  </si>
  <si>
    <t>Within Inch- carcass drum change for 12" &amp; 13"</t>
  </si>
  <si>
    <t>Manual</t>
  </si>
  <si>
    <t>Within Inch- carcass drum change for 13" &amp; 14"</t>
  </si>
  <si>
    <t>Within Inch- carcass drum change for 14"</t>
  </si>
  <si>
    <t>Within Inch- carcass drum change for 15" &amp; above</t>
  </si>
  <si>
    <t xml:space="preserve">1,2- 12 to 2o inch </t>
  </si>
  <si>
    <t>Within Inch- Carcass Drum Change + BTTR / B&amp;T Segment Change</t>
  </si>
  <si>
    <t>3,4,5 12 to 16 inch</t>
  </si>
  <si>
    <t>Within Inch- Only Material Change over</t>
  </si>
  <si>
    <t>Within Inch- Carcass Drum Change + BTTR + B&amp;T Segment Change</t>
  </si>
  <si>
    <t>6,7,8,9,10,11 13 to 20 inch</t>
  </si>
  <si>
    <t>CONTI</t>
  </si>
  <si>
    <t>Within Inch - Carcass Drum Segment Change 12" to 14"- on machine</t>
  </si>
  <si>
    <t>Within Inch - Carcass Drum Segment Change 15" &amp; above - on machine</t>
  </si>
  <si>
    <t>Within Inch - Carcass Drum Segment Change on machine</t>
  </si>
  <si>
    <t>Within Inch- Remaining all categories of Setup Change</t>
  </si>
  <si>
    <t>Inch to Inch - Setup Change</t>
  </si>
  <si>
    <t>Within Inch</t>
  </si>
  <si>
    <t>Inch to Inch</t>
  </si>
  <si>
    <t>Conti 1</t>
  </si>
  <si>
    <t>Conti 2</t>
  </si>
  <si>
    <t>26.06.2025</t>
  </si>
  <si>
    <t>TBR QA- X RAY</t>
  </si>
  <si>
    <t>SI. No</t>
  </si>
  <si>
    <t>Cycle Time</t>
  </si>
  <si>
    <t>1-X-ray coupled with 2-Runout &amp; Imbalance Machines</t>
  </si>
  <si>
    <t>Auto</t>
  </si>
  <si>
    <t>Secs</t>
  </si>
  <si>
    <t>X-ray Coin Calibration Verification - Image Reference</t>
  </si>
  <si>
    <t xml:space="preserve">X-ray Coin Calibration - Calibration tire &amp; tool preparation (Kit Pre-Assembly) </t>
  </si>
  <si>
    <t>X-ray Coin Calibration without Kit Pre-Assembly</t>
  </si>
  <si>
    <t xml:space="preserve"> X-ray Coin Calibration with Kit Pre-Assembly</t>
  </si>
  <si>
    <t>X-ray Recipe Creation</t>
  </si>
  <si>
    <t>TBR QA- TYRE UNIFORMITY MACHINE</t>
  </si>
  <si>
    <t>Uniformity machine Master tyre check (1 X 3)</t>
  </si>
  <si>
    <t>Uniformity machine Cycle time per tyre</t>
  </si>
  <si>
    <t>TBR Curing - First Line Visual Inspection Cycle Time</t>
  </si>
  <si>
    <t>SI.No.</t>
  </si>
  <si>
    <t>First Line Inspection (Tube tyre 20 inch)</t>
  </si>
  <si>
    <t>Sec.</t>
  </si>
  <si>
    <t>First Line Inspection (Tubless tyre 22.5 inch)</t>
  </si>
  <si>
    <t>21.07.2025</t>
  </si>
  <si>
    <t>TBR QA - Second Line Visual Inspection Cycle Time</t>
  </si>
  <si>
    <t>Lot Inspection</t>
  </si>
  <si>
    <t>Tyre to and fro movement from the lot sampling storage area and IIOT adherence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</si>
</sst>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4"/>
      <color theme="1"/>
      <name val="Arial"/>
      <family val="2"/>
    </font>
    <font>
      <b/>
      <u/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Wingdings 2"/>
      <family val="1"/>
      <charset val="2"/>
    </font>
    <font>
      <b/>
      <sz val="11"/>
      <name val="Arial"/>
      <family val="2"/>
    </font>
    <font>
      <sz val="10"/>
      <name val="Arial"/>
      <family val="2"/>
    </font>
    <font>
      <sz val="11"/>
      <name val="Arial"/>
      <family val="2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Tahoma"/>
      <family val="2"/>
    </font>
    <font>
      <sz val="11"/>
      <color theme="1"/>
      <name val="Tahoma"/>
      <family val="2"/>
    </font>
    <font>
      <b/>
      <u/>
      <sz val="11"/>
      <color theme="1"/>
      <name val="Calibri"/>
      <family val="2"/>
      <scheme val="minor"/>
    </font>
    <font>
      <b/>
      <u/>
      <sz val="11"/>
      <name val="Arial"/>
      <family val="2"/>
    </font>
    <font>
      <sz val="11"/>
      <name val="Arial"/>
    </font>
    <font>
      <b/>
      <sz val="9"/>
      <color theme="1"/>
      <name val="-Apple-System"/>
      <charset val="1"/>
    </font>
    <font>
      <sz val="10"/>
      <name val="Times New Roman"/>
      <family val="1"/>
    </font>
    <font>
      <sz val="14"/>
      <name val="Calibri"/>
      <scheme val="minor"/>
    </font>
    <font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8" fillId="0" borderId="0"/>
  </cellStyleXfs>
  <cellXfs count="113">
    <xf numFmtId="0" fontId="0" fillId="0" borderId="0" xfId="0"/>
    <xf numFmtId="0" fontId="2" fillId="0" borderId="0" xfId="0" applyFont="1" applyAlignment="1">
      <alignment vertical="center"/>
    </xf>
    <xf numFmtId="0" fontId="4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0" fontId="4" fillId="0" borderId="3" xfId="0" quotePrefix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left" vertical="center" wrapText="1"/>
    </xf>
    <xf numFmtId="2" fontId="5" fillId="0" borderId="3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vertical="center" wrapText="1"/>
    </xf>
    <xf numFmtId="1" fontId="9" fillId="0" borderId="3" xfId="1" applyNumberFormat="1" applyFont="1" applyBorder="1" applyAlignment="1">
      <alignment horizontal="left" vertical="center" wrapText="1"/>
    </xf>
    <xf numFmtId="0" fontId="5" fillId="0" borderId="3" xfId="0" applyFont="1" applyBorder="1" applyAlignment="1">
      <alignment horizontal="center" vertical="center"/>
    </xf>
    <xf numFmtId="1" fontId="7" fillId="0" borderId="3" xfId="1" applyNumberFormat="1" applyFont="1" applyBorder="1" applyAlignment="1">
      <alignment horizontal="center" vertical="center" wrapText="1"/>
    </xf>
    <xf numFmtId="0" fontId="3" fillId="0" borderId="3" xfId="0" applyFont="1" applyBorder="1" applyAlignment="1">
      <alignment horizontal="left" vertical="center" wrapText="1"/>
    </xf>
    <xf numFmtId="0" fontId="1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1" fontId="4" fillId="0" borderId="0" xfId="0" applyNumberFormat="1" applyFont="1" applyAlignment="1">
      <alignment horizontal="center" vertical="center" wrapText="1"/>
    </xf>
    <xf numFmtId="1" fontId="7" fillId="0" borderId="0" xfId="1" applyNumberFormat="1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 wrapText="1"/>
    </xf>
    <xf numFmtId="0" fontId="0" fillId="0" borderId="3" xfId="0" applyBorder="1"/>
    <xf numFmtId="0" fontId="0" fillId="0" borderId="3" xfId="0" applyBorder="1" applyAlignment="1">
      <alignment wrapText="1"/>
    </xf>
    <xf numFmtId="0" fontId="13" fillId="3" borderId="3" xfId="0" applyFont="1" applyFill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 wrapText="1"/>
    </xf>
    <xf numFmtId="1" fontId="11" fillId="0" borderId="3" xfId="0" applyNumberFormat="1" applyFont="1" applyBorder="1" applyAlignment="1">
      <alignment horizontal="center" vertical="center"/>
    </xf>
    <xf numFmtId="0" fontId="14" fillId="0" borderId="0" xfId="0" applyFont="1"/>
    <xf numFmtId="0" fontId="7" fillId="2" borderId="1" xfId="1" applyFont="1" applyFill="1" applyBorder="1"/>
    <xf numFmtId="0" fontId="9" fillId="2" borderId="2" xfId="1" applyFont="1" applyFill="1" applyBorder="1"/>
    <xf numFmtId="0" fontId="9" fillId="2" borderId="2" xfId="1" applyFont="1" applyFill="1" applyBorder="1" applyAlignment="1">
      <alignment horizontal="right" vertical="center"/>
    </xf>
    <xf numFmtId="0" fontId="9" fillId="2" borderId="10" xfId="1" applyFont="1" applyFill="1" applyBorder="1" applyAlignment="1">
      <alignment vertical="center"/>
    </xf>
    <xf numFmtId="164" fontId="9" fillId="0" borderId="0" xfId="1" applyNumberFormat="1" applyFont="1" applyAlignment="1">
      <alignment horizontal="center" vertical="center" wrapText="1"/>
    </xf>
    <xf numFmtId="0" fontId="7" fillId="2" borderId="11" xfId="1" applyFont="1" applyFill="1" applyBorder="1"/>
    <xf numFmtId="0" fontId="9" fillId="2" borderId="0" xfId="1" applyFont="1" applyFill="1"/>
    <xf numFmtId="0" fontId="9" fillId="2" borderId="12" xfId="1" applyFont="1" applyFill="1" applyBorder="1"/>
    <xf numFmtId="1" fontId="9" fillId="0" borderId="3" xfId="1" applyNumberFormat="1" applyFont="1" applyBorder="1" applyAlignment="1">
      <alignment horizontal="center" vertical="center" wrapText="1"/>
    </xf>
    <xf numFmtId="2" fontId="9" fillId="0" borderId="3" xfId="1" applyNumberFormat="1" applyFont="1" applyBorder="1" applyAlignment="1">
      <alignment horizontal="center" vertical="center" wrapText="1"/>
    </xf>
    <xf numFmtId="0" fontId="9" fillId="0" borderId="0" xfId="1" applyFont="1" applyAlignment="1">
      <alignment horizontal="center" vertical="center" wrapText="1"/>
    </xf>
    <xf numFmtId="0" fontId="9" fillId="0" borderId="0" xfId="1" applyFont="1" applyAlignment="1">
      <alignment horizontal="left" vertical="center" wrapText="1"/>
    </xf>
    <xf numFmtId="0" fontId="9" fillId="0" borderId="0" xfId="1" applyFont="1"/>
    <xf numFmtId="0" fontId="7" fillId="2" borderId="1" xfId="1" applyFont="1" applyFill="1" applyBorder="1" applyAlignment="1">
      <alignment vertical="center"/>
    </xf>
    <xf numFmtId="0" fontId="9" fillId="2" borderId="2" xfId="1" applyFont="1" applyFill="1" applyBorder="1" applyAlignment="1">
      <alignment vertical="center"/>
    </xf>
    <xf numFmtId="0" fontId="9" fillId="2" borderId="10" xfId="1" applyFont="1" applyFill="1" applyBorder="1" applyAlignment="1">
      <alignment horizontal="left" vertical="center"/>
    </xf>
    <xf numFmtId="0" fontId="7" fillId="2" borderId="11" xfId="1" applyFont="1" applyFill="1" applyBorder="1" applyAlignment="1">
      <alignment vertical="center"/>
    </xf>
    <xf numFmtId="0" fontId="9" fillId="2" borderId="0" xfId="1" applyFont="1" applyFill="1" applyAlignment="1">
      <alignment vertical="center"/>
    </xf>
    <xf numFmtId="0" fontId="9" fillId="2" borderId="12" xfId="1" applyFont="1" applyFill="1" applyBorder="1" applyAlignment="1">
      <alignment vertical="center"/>
    </xf>
    <xf numFmtId="0" fontId="7" fillId="0" borderId="3" xfId="1" applyFont="1" applyBorder="1" applyAlignment="1">
      <alignment horizontal="center" vertical="center" wrapText="1"/>
    </xf>
    <xf numFmtId="0" fontId="9" fillId="0" borderId="3" xfId="1" applyFont="1" applyBorder="1" applyAlignment="1">
      <alignment horizontal="center" vertical="center" wrapText="1"/>
    </xf>
    <xf numFmtId="0" fontId="9" fillId="0" borderId="3" xfId="1" applyFont="1" applyBorder="1" applyAlignment="1">
      <alignment horizontal="left" vertical="center" wrapText="1"/>
    </xf>
    <xf numFmtId="164" fontId="9" fillId="0" borderId="2" xfId="1" applyNumberFormat="1" applyFont="1" applyBorder="1" applyAlignment="1">
      <alignment horizontal="center" vertical="center" wrapText="1"/>
    </xf>
    <xf numFmtId="0" fontId="9" fillId="2" borderId="2" xfId="1" applyFont="1" applyFill="1" applyBorder="1" applyAlignment="1">
      <alignment horizontal="right"/>
    </xf>
    <xf numFmtId="0" fontId="9" fillId="2" borderId="10" xfId="1" applyFont="1" applyFill="1" applyBorder="1"/>
    <xf numFmtId="1" fontId="5" fillId="0" borderId="3" xfId="1" applyNumberFormat="1" applyFont="1" applyBorder="1" applyAlignment="1">
      <alignment horizontal="left" vertical="center" wrapText="1"/>
    </xf>
    <xf numFmtId="1" fontId="5" fillId="0" borderId="3" xfId="1" applyNumberFormat="1" applyFont="1" applyBorder="1" applyAlignment="1">
      <alignment horizontal="center" vertical="center" wrapText="1"/>
    </xf>
    <xf numFmtId="2" fontId="5" fillId="0" borderId="3" xfId="1" applyNumberFormat="1" applyFont="1" applyBorder="1" applyAlignment="1">
      <alignment horizontal="center" vertical="center" wrapText="1"/>
    </xf>
    <xf numFmtId="0" fontId="9" fillId="2" borderId="10" xfId="1" applyFont="1" applyFill="1" applyBorder="1" applyAlignment="1">
      <alignment horizontal="left"/>
    </xf>
    <xf numFmtId="164" fontId="16" fillId="0" borderId="0" xfId="1" applyNumberFormat="1" applyFont="1" applyAlignment="1">
      <alignment horizontal="center" vertical="center" wrapText="1"/>
    </xf>
    <xf numFmtId="0" fontId="17" fillId="0" borderId="14" xfId="0" applyFont="1" applyBorder="1" applyAlignment="1">
      <alignment wrapText="1"/>
    </xf>
    <xf numFmtId="164" fontId="9" fillId="0" borderId="3" xfId="1" applyNumberFormat="1" applyFont="1" applyBorder="1" applyAlignment="1">
      <alignment horizontal="center" vertical="center" wrapText="1"/>
    </xf>
    <xf numFmtId="164" fontId="9" fillId="0" borderId="3" xfId="1" applyNumberFormat="1" applyFont="1" applyBorder="1" applyAlignment="1">
      <alignment horizontal="center" vertical="center"/>
    </xf>
    <xf numFmtId="0" fontId="18" fillId="0" borderId="3" xfId="0" applyFont="1" applyBorder="1" applyAlignment="1">
      <alignment horizontal="center"/>
    </xf>
    <xf numFmtId="0" fontId="19" fillId="0" borderId="3" xfId="0" applyFont="1" applyBorder="1" applyAlignment="1">
      <alignment horizontal="center"/>
    </xf>
    <xf numFmtId="0" fontId="19" fillId="0" borderId="0" xfId="1" applyFont="1" applyAlignment="1">
      <alignment horizontal="left" vertical="center" wrapText="1"/>
    </xf>
    <xf numFmtId="0" fontId="19" fillId="0" borderId="0" xfId="1" applyFont="1" applyAlignment="1">
      <alignment horizontal="left" vertical="center"/>
    </xf>
    <xf numFmtId="1" fontId="7" fillId="0" borderId="3" xfId="1" applyNumberFormat="1" applyFont="1" applyBorder="1" applyAlignment="1">
      <alignment horizontal="left" vertical="center" wrapText="1"/>
    </xf>
    <xf numFmtId="164" fontId="16" fillId="0" borderId="3" xfId="1" applyNumberFormat="1" applyFont="1" applyBorder="1" applyAlignment="1">
      <alignment vertical="center" wrapText="1"/>
    </xf>
    <xf numFmtId="164" fontId="16" fillId="0" borderId="0" xfId="1" applyNumberFormat="1" applyFont="1" applyAlignment="1">
      <alignment vertical="center" wrapText="1"/>
    </xf>
    <xf numFmtId="0" fontId="16" fillId="0" borderId="0" xfId="1" applyFont="1" applyAlignment="1">
      <alignment horizontal="center" vertical="center" wrapText="1"/>
    </xf>
    <xf numFmtId="0" fontId="20" fillId="0" borderId="3" xfId="0" applyFont="1" applyBorder="1"/>
    <xf numFmtId="0" fontId="20" fillId="0" borderId="9" xfId="0" applyFont="1" applyBorder="1"/>
    <xf numFmtId="0" fontId="20" fillId="0" borderId="0" xfId="0" applyFont="1"/>
    <xf numFmtId="0" fontId="20" fillId="0" borderId="8" xfId="0" applyFont="1" applyBorder="1"/>
    <xf numFmtId="0" fontId="20" fillId="0" borderId="13" xfId="0" applyFont="1" applyBorder="1"/>
    <xf numFmtId="0" fontId="5" fillId="0" borderId="3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8" xfId="0" applyFont="1" applyBorder="1" applyAlignment="1">
      <alignment horizontal="left"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1" fillId="4" borderId="5" xfId="0" applyFont="1" applyFill="1" applyBorder="1" applyAlignment="1">
      <alignment horizontal="center" vertical="center"/>
    </xf>
    <xf numFmtId="0" fontId="15" fillId="5" borderId="8" xfId="1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164" fontId="16" fillId="0" borderId="3" xfId="1" applyNumberFormat="1" applyFont="1" applyBorder="1" applyAlignment="1">
      <alignment horizontal="center" vertical="center" wrapText="1"/>
    </xf>
    <xf numFmtId="0" fontId="15" fillId="5" borderId="7" xfId="1" applyFont="1" applyFill="1" applyBorder="1" applyAlignment="1">
      <alignment horizontal="center" vertical="center" wrapText="1"/>
    </xf>
    <xf numFmtId="0" fontId="9" fillId="5" borderId="4" xfId="1" applyFont="1" applyFill="1" applyBorder="1" applyAlignment="1">
      <alignment horizontal="left" vertical="center" wrapText="1"/>
    </xf>
    <xf numFmtId="0" fontId="9" fillId="5" borderId="5" xfId="1" applyFont="1" applyFill="1" applyBorder="1" applyAlignment="1">
      <alignment horizontal="left" vertical="center" wrapText="1"/>
    </xf>
    <xf numFmtId="0" fontId="9" fillId="5" borderId="13" xfId="1" applyFont="1" applyFill="1" applyBorder="1" applyAlignment="1">
      <alignment horizontal="left" vertical="center" wrapText="1"/>
    </xf>
    <xf numFmtId="0" fontId="7" fillId="0" borderId="7" xfId="1" applyFont="1" applyBorder="1" applyAlignment="1">
      <alignment horizontal="center" vertical="center" wrapText="1"/>
    </xf>
    <xf numFmtId="0" fontId="7" fillId="0" borderId="8" xfId="1" applyFont="1" applyBorder="1" applyAlignment="1">
      <alignment horizontal="center" vertical="center" wrapText="1"/>
    </xf>
    <xf numFmtId="0" fontId="7" fillId="0" borderId="6" xfId="1" applyFont="1" applyBorder="1" applyAlignment="1">
      <alignment horizontal="center" vertical="center" wrapText="1"/>
    </xf>
  </cellXfs>
  <cellStyles count="2">
    <cellStyle name="Normal" xfId="0" builtinId="0"/>
    <cellStyle name="Normal 5" xfId="1" xr:uid="{9319D36B-AE66-46AF-A9A6-659E7A0C838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4.xml"/><Relationship Id="rId18" Type="http://schemas.openxmlformats.org/officeDocument/2006/relationships/externalLink" Target="externalLinks/externalLink9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2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3.xml"/><Relationship Id="rId17" Type="http://schemas.openxmlformats.org/officeDocument/2006/relationships/externalLink" Target="externalLinks/externalLink8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7.xml"/><Relationship Id="rId20" Type="http://schemas.openxmlformats.org/officeDocument/2006/relationships/externalLink" Target="externalLinks/externalLink11.xml"/><Relationship Id="rId29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6.xml"/><Relationship Id="rId23" Type="http://schemas.openxmlformats.org/officeDocument/2006/relationships/externalLink" Target="externalLinks/externalLink14.xml"/><Relationship Id="rId28" Type="http://schemas.openxmlformats.org/officeDocument/2006/relationships/customXml" Target="../customXml/item1.xml"/><Relationship Id="rId10" Type="http://schemas.openxmlformats.org/officeDocument/2006/relationships/externalLink" Target="externalLinks/externalLink1.xml"/><Relationship Id="rId19" Type="http://schemas.openxmlformats.org/officeDocument/2006/relationships/externalLink" Target="externalLinks/externalLink10.xml"/><Relationship Id="rId31" Type="http://schemas.openxmlformats.org/officeDocument/2006/relationships/customXml" Target="../customXml/item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5.xml"/><Relationship Id="rId22" Type="http://schemas.openxmlformats.org/officeDocument/2006/relationships/externalLink" Target="externalLinks/externalLink13.xml"/><Relationship Id="rId27" Type="http://schemas.openxmlformats.org/officeDocument/2006/relationships/calcChain" Target="calcChain.xml"/><Relationship Id="rId30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ASHOK\CAP\PROP\BACKUP\APP11-12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556-D09\C\IE\OUR\2000\IE\JSO\TRASH\Book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552-d12\c\IE\BAIJ\ourjun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nc8\C\MonthlyPlanVTP\PRODUCTION%20PLAN%20JUNE2004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ASHOK\CAP\PROP\BACKUP\LTA99\BACKUP\KGBLS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230.60\common\Users\saba.iram\AppData\Local\Microsoft\Windows\INetCache\Content.Outlook\E8XUMAJF\DAILY%20SUMMARY%20AUG-2012\DAILY%20SUMMARY%20AUG-2012\BB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jktyres\AppData\Local\Microsoft\Windows\Temporary%20Internet%20Files\Content.Outlook\6XWEUM6S\For-KTP-Sep%2002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230.60\specification\PCR\01.%20Spec\03.%20Master%20Spec\MASTER%20SPEC%20(Regular).xlsb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552-d12\c\LTA\LTSDPR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IE\AGR\MD2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na\c\user\KKS\for\Fo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inc2\d\A-KVN\TBR%20INFORMATION\3-TBR-14.01.08\Pothal\Hexamine\Hexa-sunset\Kanoria\PENTA%20AT%20AKG%20OFFICE\AD%20Penta%20China\dumping%20application\COST%20WORKING\BALSHEET\Dumping%20final\COST2001MAR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552-d12\c\CAP98\BASE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na\c\user\MATREQT\CAPACITY\MA0001R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p_4roll"/>
      <sheetName val="CYCLE1"/>
      <sheetName val="CYCLE2"/>
    </sheetNames>
    <sheetDataSet>
      <sheetData sheetId="0"/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bc"/>
      <sheetName val="bbc"/>
      <sheetName val="bc"/>
      <sheetName val="2rr"/>
      <sheetName val="2rollb"/>
      <sheetName val="sltr"/>
      <sheetName val="brkr"/>
      <sheetName val="WIRE_CUTTR"/>
      <sheetName val="CAM_GUM"/>
      <sheetName val="BANRAW-1"/>
      <sheetName val="ban-1"/>
      <sheetName val="ban-2"/>
      <sheetName val="ASHOK"/>
      <sheetName val="LSR"/>
      <sheetName val="#REF"/>
      <sheetName val="SF "/>
      <sheetName val="OVERALL"/>
      <sheetName val="FEB-2010"/>
      <sheetName val="SUMMARY"/>
      <sheetName val="Tax 2014-15"/>
      <sheetName val="SAN_TO"/>
      <sheetName val="comp"/>
      <sheetName val="75&quot; Press"/>
      <sheetName val="Wh"/>
      <sheetName val="Opinion"/>
      <sheetName val="List of Vendors"/>
      <sheetName val="INDEX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iasraw"/>
      <sheetName val="bbc"/>
    </sheetNames>
    <sheetDataSet>
      <sheetData sheetId="0"/>
      <sheetData sheetId="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ster (2)"/>
      <sheetName val="Master"/>
      <sheetName val="pLAN_ho"/>
      <sheetName val="Plan_Internal"/>
      <sheetName val="Tube req"/>
      <sheetName val="flap req"/>
      <sheetName val="MOULDSCH(TYRE)"/>
      <sheetName val="MOULDSCH (Tube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B"/>
      <sheetName val="p8"/>
      <sheetName val="FPS"/>
      <sheetName val="A"/>
      <sheetName val="Tracking sheet Daily"/>
      <sheetName val="Plan_Internal"/>
      <sheetName val="pLAN_ho"/>
      <sheetName val="COA-IPCL"/>
      <sheetName val="Data"/>
      <sheetName val="Alloc"/>
      <sheetName val="EQOT"/>
      <sheetName val="welfare"/>
      <sheetName val="Duplex B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INDEX"/>
      <sheetName val="Page 1"/>
      <sheetName val="Page 2"/>
      <sheetName val="Page 3"/>
      <sheetName val="Page 4"/>
      <sheetName val="Page 5"/>
      <sheetName val="Page 6"/>
      <sheetName val="Page 7"/>
      <sheetName val="Page 8"/>
      <sheetName val="Page 9"/>
      <sheetName val="Page 10"/>
      <sheetName val="Page 11"/>
      <sheetName val="Page 12"/>
      <sheetName val="Page 13"/>
      <sheetName val="Page 14"/>
      <sheetName val="Page 15"/>
      <sheetName val="Page 16"/>
      <sheetName val="Page 17"/>
      <sheetName val="Page 18"/>
      <sheetName val="Page 19"/>
      <sheetName val="Page 20"/>
      <sheetName val="Page 21"/>
      <sheetName val="Page 22"/>
      <sheetName val="Page 23"/>
      <sheetName val="Page 24"/>
      <sheetName val="Page 25"/>
      <sheetName val="Page 26"/>
      <sheetName val="Page 27"/>
      <sheetName val="Page 28"/>
      <sheetName val="Page 29"/>
      <sheetName val="Page 30"/>
      <sheetName val="Page 31"/>
      <sheetName val="Page 32"/>
      <sheetName val="Page 33"/>
      <sheetName val="Page 34"/>
      <sheetName val="Module2"/>
      <sheetName val="Module3"/>
      <sheetName val="Module1"/>
    </sheetNames>
    <sheetDataSet>
      <sheetData sheetId="0" refreshError="1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p.Gr"/>
      <sheetName val="ALL PLANT CAL SPEC"/>
      <sheetName val="Reference"/>
      <sheetName val="SETUP NEW"/>
      <sheetName val="Apex"/>
      <sheetName val="MASTER LIST REGULAR "/>
      <sheetName val="IL "/>
      <sheetName val="PLY"/>
      <sheetName val="Bead"/>
      <sheetName val="BEAD &amp; APEX"/>
      <sheetName val="SIDEWALL"/>
      <sheetName val="BELT"/>
      <sheetName val="TREAD"/>
      <sheetName val="CAP STRIP"/>
      <sheetName val="Filliper"/>
      <sheetName val="Tyre weight"/>
      <sheetName val="MASTER"/>
      <sheetName val="REV .DOC NO"/>
      <sheetName val="Bladder"/>
      <sheetName val="Color ID"/>
      <sheetName val="Tooling Tracking"/>
      <sheetName val="Sheet1"/>
      <sheetName val="Sheet1-old"/>
      <sheetName val="Sheet2"/>
      <sheetName val="MASTER "/>
    </sheetNames>
    <sheetDataSet>
      <sheetData sheetId="0" refreshError="1"/>
      <sheetData sheetId="1" refreshError="1"/>
      <sheetData sheetId="2"/>
      <sheetData sheetId="3"/>
      <sheetData sheetId="4" refreshError="1"/>
      <sheetData sheetId="5"/>
      <sheetData sheetId="6"/>
      <sheetData sheetId="7"/>
      <sheetData sheetId="8" refreshError="1"/>
      <sheetData sheetId="9"/>
      <sheetData sheetId="10" refreshError="1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IASREW "/>
      <sheetName val="prop 3a "/>
      <sheetName val="prop 3b"/>
      <sheetName val="prop 3b (2)"/>
      <sheetName val="prop 1a (2)"/>
      <sheetName val="objective"/>
      <sheetName val="changes"/>
      <sheetName val="capbasis"/>
      <sheetName val="capacity"/>
      <sheetName val="eq-cap122"/>
      <sheetName val="eq-cap113"/>
      <sheetName val="package"/>
      <sheetName val="PROP-NORM"/>
      <sheetName val="INT-PLANT"/>
      <sheetName val="SFTREQ"/>
      <sheetName val="CAPEX"/>
      <sheetName val="man-sum"/>
      <sheetName val="MAN-RED"/>
      <sheetName val="cost-ana"/>
      <sheetName val="SC1"/>
      <sheetName val="SC1-ANA"/>
      <sheetName val="SC2"/>
      <sheetName val="sc2-ana"/>
      <sheetName val="SC - III"/>
      <sheetName val="SC-IV"/>
      <sheetName val="SC123"/>
      <sheetName val="RANGE"/>
      <sheetName val="B-SHEET"/>
      <sheetName val="extgearn"/>
      <sheetName val="prdman"/>
      <sheetName val="enngman"/>
      <sheetName val="othman"/>
      <sheetName val="schedule"/>
      <sheetName val="DTIME"/>
      <sheetName val="Canteen"/>
      <sheetName val="Sheet2"/>
      <sheetName val="Sheet3"/>
      <sheetName val="Sheet4"/>
      <sheetName val="KPIS"/>
      <sheetName val="comentarios"/>
      <sheetName val="tabla"/>
      <sheetName val="SIZE 31"/>
      <sheetName val="SIZE 27"/>
      <sheetName val="SIZE 13"/>
      <sheetName val="SIZE 06"/>
      <sheetName val="forecast"/>
      <sheetName val="Plan de accion"/>
      <sheetName val="APT mes"/>
      <sheetName val="APT 1"/>
      <sheetName val="APT 1 (2)"/>
      <sheetName val="APT 1 (3)"/>
      <sheetName val="APT 1 (4)"/>
      <sheetName val="APT 1 (5)"/>
      <sheetName val="tot acu"/>
      <sheetName val="SOPORTE"/>
      <sheetName val="Hoja1"/>
      <sheetName val="carrito"/>
      <sheetName val="Hoja2"/>
      <sheetName val="VS"/>
      <sheetName val="Hoja4"/>
      <sheetName val="Hoja5"/>
      <sheetName val="bbc"/>
      <sheetName val="共機J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 refreshError="1"/>
      <sheetData sheetId="62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thman"/>
      <sheetName val="cost sheet-1999-00"/>
      <sheetName val="Ledger"/>
      <sheetName val="K 101-13-18.09.06"/>
      <sheetName val="Data Base"/>
    </sheetNames>
    <sheetDataSet>
      <sheetData sheetId="0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INDEX"/>
      <sheetName val="Page 1"/>
      <sheetName val="Page 2"/>
      <sheetName val="Page 3"/>
      <sheetName val="Page 4"/>
      <sheetName val="Page 5"/>
      <sheetName val="Page 6"/>
      <sheetName val="Page 7"/>
      <sheetName val="Page 8"/>
      <sheetName val="Page 9"/>
      <sheetName val="Page 10"/>
      <sheetName val="Page 11"/>
      <sheetName val="Page 12"/>
      <sheetName val="Page 13"/>
      <sheetName val="Page 14"/>
      <sheetName val="Page 15"/>
      <sheetName val="Page 16"/>
      <sheetName val="Page 17"/>
      <sheetName val="Page 18"/>
      <sheetName val="Page 19"/>
      <sheetName val="Page 20"/>
      <sheetName val="Page 21"/>
      <sheetName val="Page 22"/>
      <sheetName val="Page 23"/>
      <sheetName val="Page 24"/>
      <sheetName val="Page 25"/>
      <sheetName val="Page 26"/>
      <sheetName val="Page 27"/>
      <sheetName val="Page 28"/>
      <sheetName val="Page 29"/>
      <sheetName val="Page 30"/>
      <sheetName val="Page 31"/>
      <sheetName val="PAN"/>
      <sheetName val="bdg"/>
      <sheetName val="curn"/>
      <sheetName val="WarS"/>
      <sheetName val="Module2"/>
      <sheetName val="Module3"/>
      <sheetName val="Module1"/>
      <sheetName val="KTP-BTP COMP"/>
      <sheetName val="Overall summary"/>
      <sheetName val="2002-03 BTPtotal"/>
      <sheetName val="Overall summary KTP"/>
      <sheetName val="CR2002-03 KTP "/>
      <sheetName val="CR2003-04 KTP "/>
      <sheetName val="Page 15 (2)"/>
      <sheetName val="Page 32"/>
      <sheetName val="Pla"/>
      <sheetName val="bld"/>
      <sheetName val="cur"/>
      <sheetName val="ware"/>
      <sheetName val="KTP-BTP DOWN"/>
      <sheetName val="Page 6-(i)"/>
      <sheetName val="Page 6-(ii)"/>
      <sheetName val="Page-7-ii"/>
      <sheetName val="Page 33"/>
      <sheetName val="Page 34"/>
      <sheetName val="Plan"/>
      <sheetName val="bldg"/>
      <sheetName val="Warousn"/>
      <sheetName val="plan_pp"/>
      <sheetName val="Page 16 "/>
      <sheetName val="Blg"/>
      <sheetName val="curing"/>
      <sheetName val="othman"/>
      <sheetName val="bbc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 refreshError="1"/>
      <sheetData sheetId="48" refreshError="1"/>
      <sheetData sheetId="49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 refreshError="1"/>
      <sheetData sheetId="60" refreshError="1"/>
      <sheetData sheetId="61" refreshError="1"/>
      <sheetData sheetId="62"/>
      <sheetData sheetId="63"/>
      <sheetData sheetId="64"/>
      <sheetData sheetId="65" refreshError="1"/>
      <sheetData sheetId="66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NTR"/>
      <sheetName val="CONSREPO"/>
      <sheetName val="PWS"/>
      <sheetName val="WELFA"/>
      <sheetName val="MECH"/>
      <sheetName val="INST"/>
      <sheetName val="CVL"/>
      <sheetName val="LAB"/>
      <sheetName val="AIR"/>
      <sheetName val="ELEC"/>
      <sheetName val="ETPMOAO"/>
      <sheetName val="ETPMOAO (2)"/>
      <sheetName val="RWATER"/>
      <sheetName val="COOL"/>
      <sheetName val="CHIL"/>
      <sheetName val="DMW"/>
      <sheetName val="POWER"/>
      <sheetName val="STEAM"/>
      <sheetName val="Alcohol"/>
      <sheetName val="CO2 (2)"/>
      <sheetName val="etpbio"/>
      <sheetName val="bio power"/>
      <sheetName val="WIND"/>
      <sheetName val="ED"/>
      <sheetName val="PETECH"/>
      <sheetName val="NITRA"/>
      <sheetName val="DPE"/>
      <sheetName val="SF"/>
      <sheetName val="ALCO"/>
      <sheetName val="FD"/>
      <sheetName val="AD"/>
      <sheetName val="HEX"/>
      <sheetName val="FORMIC"/>
      <sheetName val="SULPHAT"/>
      <sheetName val="FERMT"/>
      <sheetName val="ACETIC"/>
      <sheetName val="DILUTE"/>
      <sheetName val="ETHYL"/>
      <sheetName val="BFR"/>
      <sheetName val="CO2"/>
      <sheetName val="Alco-Sales"/>
      <sheetName val="PROFORMA"/>
      <sheetName val="prof co2"/>
      <sheetName val="RECO"/>
      <sheetName val="OHDISTRI"/>
      <sheetName val="VALUATION"/>
      <sheetName val="CERTIFICATES"/>
      <sheetName val="PRODSALE"/>
      <sheetName val="RATIO"/>
      <sheetName val="synchrnised"/>
      <sheetName val="UTILITY"/>
      <sheetName val="products"/>
      <sheetName val="services"/>
      <sheetName val="F_"/>
      <sheetName val="Module1"/>
      <sheetName val="TEMP"/>
      <sheetName val="Module3"/>
      <sheetName val="Module2"/>
      <sheetName val="INDEX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/>
      <sheetData sheetId="51"/>
      <sheetData sheetId="52"/>
      <sheetData sheetId="53"/>
      <sheetData sheetId="54" refreshError="1"/>
      <sheetData sheetId="55"/>
      <sheetData sheetId="56" refreshError="1"/>
      <sheetData sheetId="57" refreshError="1"/>
      <sheetData sheetId="58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NRAW(1)"/>
      <sheetName val="banbury(1)"/>
      <sheetName val="BANRAW(2)"/>
      <sheetName val="banbury(2)"/>
      <sheetName val="4RDIP-R"/>
      <sheetName val="4RDIP"/>
      <sheetName val="4R-WIRE"/>
      <sheetName val="2ROLL"/>
      <sheetName val="DUAL-R"/>
      <sheetName val="DUAL-B"/>
      <sheetName val="COLD-BR"/>
      <sheetName val="BIAS-R"/>
      <sheetName val="BIAS-B"/>
      <sheetName val="BEAD"/>
      <sheetName val="BLADDER"/>
      <sheetName val="CBR"/>
      <sheetName val="SCUR(A&amp;B)"/>
      <sheetName val="SUMCUR(C)"/>
      <sheetName val="cap_account"/>
      <sheetName val="SUMCUR(D)"/>
      <sheetName val="Module1"/>
      <sheetName val="EQOT"/>
      <sheetName val="oe_mar.04"/>
      <sheetName val="base"/>
      <sheetName val="#REF"/>
      <sheetName val="W-현원가"/>
      <sheetName val="A-100전제"/>
      <sheetName val="시설투자"/>
      <sheetName val="실행준비"/>
      <sheetName val="CIELO발주"/>
      <sheetName val="세부"/>
      <sheetName val="법인+비법인"/>
      <sheetName val="LANOS"/>
      <sheetName val="LEGANZA"/>
      <sheetName val="NUBIRA"/>
      <sheetName val="DB"/>
      <sheetName val="업체현황"/>
      <sheetName val="정철호"/>
      <sheetName val="경조금"/>
      <sheetName val="Revision Record"/>
      <sheetName val="Overview GBP"/>
      <sheetName val="진행 DATA (2)"/>
      <sheetName val="WEIGHT"/>
      <sheetName val="Sensitivity 3 Yrs"/>
      <sheetName val="BRAKE"/>
      <sheetName val="단중표"/>
      <sheetName val="BRAKE미주입"/>
      <sheetName val="DATA"/>
      <sheetName val="Sheet2"/>
      <sheetName val="SIL98"/>
      <sheetName val="실행내역"/>
      <sheetName val="직장코드"/>
      <sheetName val="군산공장추가구매"/>
      <sheetName val="CF"/>
      <sheetName val="손익계산서"/>
      <sheetName val="견적서"/>
      <sheetName val="전체"/>
      <sheetName val="부산"/>
      <sheetName val="고객상담실"/>
      <sheetName val="서부산"/>
      <sheetName val="양산"/>
      <sheetName val="부품기술(1)"/>
      <sheetName val="상용부품"/>
      <sheetName val="상용정비"/>
      <sheetName val="서대구"/>
      <sheetName val="서울서부"/>
      <sheetName val="서울정비"/>
      <sheetName val="승용부품"/>
      <sheetName val="광주정비"/>
      <sheetName val="정비교육"/>
      <sheetName val="인천정비"/>
      <sheetName val="정비기술"/>
      <sheetName val="정비운영팀"/>
      <sheetName val="조달팀"/>
      <sheetName val="기획및경리팀"/>
      <sheetName val="중부부품물류"/>
      <sheetName val="해외서비스담당"/>
      <sheetName val="전주정비"/>
      <sheetName val="관리팀"/>
      <sheetName val="구로"/>
      <sheetName val="국민차"/>
      <sheetName val="대전"/>
      <sheetName val="신탄진"/>
      <sheetName val="동서울"/>
      <sheetName val="원주"/>
      <sheetName val="Tbom-tot"/>
      <sheetName val="인도원가"/>
      <sheetName val="000000"/>
      <sheetName val="표지"/>
      <sheetName val="세계수요종합OK"/>
      <sheetName val="총품목현황"/>
      <sheetName val="fax양식"/>
      <sheetName val="VC_CR"/>
      <sheetName val="Rate table"/>
      <sheetName val="Work Done"/>
      <sheetName val="BS-DET"/>
      <sheetName val="INPUTMISC"/>
      <sheetName val="Exp_mat"/>
      <sheetName val="ALCO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/>
      <sheetData sheetId="98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PECS"/>
      <sheetName val="SUMMARY"/>
      <sheetName val="PLN_TYRE"/>
      <sheetName val="PLN_TUBE"/>
      <sheetName val="PMSUM"/>
      <sheetName val="TUBE_EXT"/>
      <sheetName val="PAINT_JAMM"/>
      <sheetName val="DUAL_MP"/>
      <sheetName val="3_Roll_Sum"/>
      <sheetName val="3_Roll"/>
      <sheetName val="SMBIAS"/>
      <sheetName val="BC"/>
      <sheetName val="FLLR_FLPR"/>
      <sheetName val="FBR_SLT"/>
      <sheetName val="NONTRKBLDG_BIAS"/>
      <sheetName val="TRKBLDG_BIAS"/>
      <sheetName val="SUMCUR"/>
      <sheetName val="TUBE_CUR"/>
      <sheetName val="PASS_CUR"/>
      <sheetName val="TRK_CUR"/>
      <sheetName val="INPUT"/>
      <sheetName val="TYRE_CODE"/>
      <sheetName val="Module1"/>
      <sheetName val="Overall summary"/>
      <sheetName val="internal_vtl"/>
      <sheetName val="status"/>
      <sheetName val="2002-03 BTPtotal"/>
      <sheetName val="CBR"/>
      <sheetName val="DATA"/>
      <sheetName val="Working"/>
      <sheetName val="LED "/>
      <sheetName val="EQOT"/>
      <sheetName val="BS-DET"/>
      <sheetName val="MEDIDAS"/>
      <sheetName val="PROD-704"/>
      <sheetName val="Criterios"/>
      <sheetName val="Cavidades"/>
      <sheetName val="1°T"/>
      <sheetName val="2°T "/>
      <sheetName val="3°T "/>
      <sheetName val="BLADDERS "/>
      <sheetName val="INVENTARIO DE LLANTA"/>
      <sheetName val="Cavidades (2)"/>
      <sheetName val="TQM-Mar-24"/>
      <sheetName val="Graphs-Q2"/>
      <sheetName val="Setting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 refreshError="1"/>
      <sheetData sheetId="44" refreshError="1"/>
      <sheetData sheetId="4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13277-545B-4866-9F57-E9B7107E6773}">
  <sheetPr>
    <pageSetUpPr fitToPage="1"/>
  </sheetPr>
  <dimension ref="A1:O87"/>
  <sheetViews>
    <sheetView showGridLines="0" topLeftCell="A36" zoomScale="85" zoomScaleNormal="85" workbookViewId="0">
      <selection activeCell="W11" sqref="W11"/>
    </sheetView>
  </sheetViews>
  <sheetFormatPr defaultRowHeight="14.45"/>
  <cols>
    <col min="1" max="1" width="4" bestFit="1" customWidth="1"/>
    <col min="2" max="2" width="16.5703125" bestFit="1" customWidth="1"/>
    <col min="3" max="3" width="35.5703125" customWidth="1"/>
    <col min="4" max="4" width="6.140625" bestFit="1" customWidth="1"/>
    <col min="5" max="5" width="13.5703125" bestFit="1" customWidth="1"/>
    <col min="6" max="6" width="7.140625" hidden="1" customWidth="1"/>
    <col min="7" max="7" width="8.85546875" hidden="1" customWidth="1"/>
    <col min="8" max="8" width="23.42578125" hidden="1" customWidth="1"/>
    <col min="9" max="15" width="8.85546875" hidden="1" customWidth="1"/>
  </cols>
  <sheetData>
    <row r="1" spans="1:8" s="1" customFormat="1" ht="18.75" customHeight="1">
      <c r="A1" s="93" t="s">
        <v>0</v>
      </c>
      <c r="B1" s="94"/>
      <c r="C1" s="94"/>
      <c r="D1" s="94"/>
      <c r="E1" s="94"/>
      <c r="F1" s="94"/>
      <c r="G1" s="94"/>
      <c r="H1" s="13"/>
    </row>
    <row r="2" spans="1:8" s="1" customFormat="1" ht="18.75" customHeight="1">
      <c r="A2" s="95"/>
      <c r="B2" s="96"/>
      <c r="C2" s="96"/>
      <c r="D2" s="96"/>
      <c r="E2" s="96"/>
      <c r="F2" s="96"/>
      <c r="G2" s="96"/>
      <c r="H2" s="14"/>
    </row>
    <row r="3" spans="1:8" ht="27.6">
      <c r="A3" s="2" t="s">
        <v>1</v>
      </c>
      <c r="B3" s="3" t="s">
        <v>2</v>
      </c>
      <c r="C3" s="3" t="s">
        <v>3</v>
      </c>
      <c r="D3" s="2" t="s">
        <v>4</v>
      </c>
      <c r="E3" s="2" t="s">
        <v>5</v>
      </c>
      <c r="F3" s="4" t="s">
        <v>6</v>
      </c>
      <c r="G3" s="2" t="s">
        <v>7</v>
      </c>
      <c r="H3" s="15"/>
    </row>
    <row r="4" spans="1:8" ht="26.25" customHeight="1">
      <c r="A4" s="85" t="s">
        <v>8</v>
      </c>
      <c r="B4" s="85"/>
      <c r="C4" s="85"/>
      <c r="D4" s="85"/>
      <c r="E4" s="85"/>
      <c r="F4" s="85"/>
      <c r="G4" s="85"/>
      <c r="H4" s="16"/>
    </row>
    <row r="5" spans="1:8" ht="45" customHeight="1">
      <c r="A5" s="5">
        <v>1</v>
      </c>
      <c r="B5" s="5" t="s">
        <v>9</v>
      </c>
      <c r="C5" s="6" t="s">
        <v>10</v>
      </c>
      <c r="D5" s="5" t="s">
        <v>11</v>
      </c>
      <c r="E5" s="5">
        <v>40</v>
      </c>
      <c r="F5" s="5" t="s">
        <v>12</v>
      </c>
      <c r="G5" s="5" t="s">
        <v>12</v>
      </c>
      <c r="H5" s="17"/>
    </row>
    <row r="6" spans="1:8" ht="45" customHeight="1">
      <c r="A6" s="5">
        <v>2</v>
      </c>
      <c r="B6" s="5" t="s">
        <v>13</v>
      </c>
      <c r="C6" s="6" t="s">
        <v>10</v>
      </c>
      <c r="D6" s="5" t="s">
        <v>11</v>
      </c>
      <c r="E6" s="5">
        <v>60</v>
      </c>
      <c r="F6" s="5" t="s">
        <v>12</v>
      </c>
      <c r="G6" s="5" t="s">
        <v>12</v>
      </c>
      <c r="H6" s="17"/>
    </row>
    <row r="7" spans="1:8">
      <c r="A7" s="85" t="s">
        <v>14</v>
      </c>
      <c r="B7" s="85"/>
      <c r="C7" s="85"/>
      <c r="D7" s="85"/>
      <c r="E7" s="85"/>
      <c r="F7" s="85"/>
      <c r="G7" s="85"/>
      <c r="H7" s="16"/>
    </row>
    <row r="8" spans="1:8" hidden="1">
      <c r="A8" s="82">
        <f>A6+1</f>
        <v>3</v>
      </c>
      <c r="B8" s="82" t="s">
        <v>15</v>
      </c>
      <c r="C8" s="6" t="s">
        <v>16</v>
      </c>
      <c r="D8" s="5" t="s">
        <v>17</v>
      </c>
      <c r="E8" s="5">
        <v>67</v>
      </c>
      <c r="F8" s="5" t="s">
        <v>12</v>
      </c>
      <c r="G8" s="5" t="s">
        <v>12</v>
      </c>
      <c r="H8" s="17"/>
    </row>
    <row r="9" spans="1:8" hidden="1">
      <c r="A9" s="82"/>
      <c r="B9" s="82"/>
      <c r="C9" s="6" t="s">
        <v>18</v>
      </c>
      <c r="D9" s="5" t="s">
        <v>17</v>
      </c>
      <c r="E9" s="5">
        <v>61</v>
      </c>
      <c r="F9" s="5" t="s">
        <v>12</v>
      </c>
      <c r="G9" s="5" t="s">
        <v>12</v>
      </c>
      <c r="H9" s="17"/>
    </row>
    <row r="10" spans="1:8" ht="27.6" hidden="1">
      <c r="A10" s="5">
        <f>A8+1</f>
        <v>4</v>
      </c>
      <c r="B10" s="5" t="s">
        <v>19</v>
      </c>
      <c r="C10" s="6" t="s">
        <v>20</v>
      </c>
      <c r="D10" s="5" t="s">
        <v>17</v>
      </c>
      <c r="E10" s="7">
        <v>24.1</v>
      </c>
      <c r="F10" s="5" t="s">
        <v>12</v>
      </c>
      <c r="G10" s="5" t="s">
        <v>12</v>
      </c>
      <c r="H10" s="17"/>
    </row>
    <row r="11" spans="1:8">
      <c r="A11" s="5">
        <v>3</v>
      </c>
      <c r="B11" s="5" t="s">
        <v>21</v>
      </c>
      <c r="C11" s="6" t="s">
        <v>22</v>
      </c>
      <c r="D11" s="5" t="s">
        <v>17</v>
      </c>
      <c r="E11" s="7">
        <v>2</v>
      </c>
      <c r="F11" s="5" t="s">
        <v>12</v>
      </c>
      <c r="G11" s="5" t="s">
        <v>12</v>
      </c>
      <c r="H11" s="17"/>
    </row>
    <row r="12" spans="1:8">
      <c r="A12" s="5">
        <v>4</v>
      </c>
      <c r="B12" s="5" t="s">
        <v>23</v>
      </c>
      <c r="C12" s="6" t="s">
        <v>24</v>
      </c>
      <c r="D12" s="5" t="s">
        <v>17</v>
      </c>
      <c r="E12" s="7">
        <v>8.5</v>
      </c>
      <c r="F12" s="5"/>
      <c r="G12" s="5"/>
      <c r="H12" s="17"/>
    </row>
    <row r="13" spans="1:8" ht="27.6">
      <c r="A13" s="5">
        <v>5</v>
      </c>
      <c r="B13" s="5" t="s">
        <v>25</v>
      </c>
      <c r="C13" s="6" t="s">
        <v>26</v>
      </c>
      <c r="D13" s="5" t="s">
        <v>17</v>
      </c>
      <c r="E13" s="5">
        <v>1.75</v>
      </c>
      <c r="F13" s="5" t="s">
        <v>12</v>
      </c>
      <c r="G13" s="5" t="s">
        <v>12</v>
      </c>
      <c r="H13" s="17"/>
    </row>
    <row r="14" spans="1:8" ht="41.45">
      <c r="A14" s="82">
        <f>A13+1</f>
        <v>6</v>
      </c>
      <c r="B14" s="82" t="s">
        <v>27</v>
      </c>
      <c r="C14" s="6" t="s">
        <v>28</v>
      </c>
      <c r="D14" s="5" t="s">
        <v>17</v>
      </c>
      <c r="E14" s="7">
        <v>7.75</v>
      </c>
      <c r="F14" s="5" t="s">
        <v>12</v>
      </c>
      <c r="G14" s="5" t="s">
        <v>12</v>
      </c>
      <c r="H14" s="17" t="s">
        <v>29</v>
      </c>
    </row>
    <row r="15" spans="1:8" ht="41.45">
      <c r="A15" s="82"/>
      <c r="B15" s="82"/>
      <c r="C15" s="6" t="s">
        <v>30</v>
      </c>
      <c r="D15" s="5" t="s">
        <v>17</v>
      </c>
      <c r="E15" s="7">
        <v>18</v>
      </c>
      <c r="F15" s="5" t="s">
        <v>12</v>
      </c>
      <c r="G15" s="5" t="s">
        <v>12</v>
      </c>
      <c r="H15" s="17" t="s">
        <v>31</v>
      </c>
    </row>
    <row r="16" spans="1:8" ht="27.6">
      <c r="A16" s="82"/>
      <c r="B16" s="82"/>
      <c r="C16" s="6" t="s">
        <v>32</v>
      </c>
      <c r="D16" s="5" t="s">
        <v>17</v>
      </c>
      <c r="E16" s="7">
        <v>19.28</v>
      </c>
      <c r="F16" s="5" t="s">
        <v>12</v>
      </c>
      <c r="G16" s="5" t="s">
        <v>12</v>
      </c>
      <c r="H16" s="17"/>
    </row>
    <row r="17" spans="1:8" ht="27.6">
      <c r="A17" s="82"/>
      <c r="B17" s="82"/>
      <c r="C17" s="6" t="s">
        <v>33</v>
      </c>
      <c r="D17" s="5" t="s">
        <v>17</v>
      </c>
      <c r="E17" s="7">
        <v>19.28</v>
      </c>
      <c r="F17" s="5" t="s">
        <v>12</v>
      </c>
      <c r="G17" s="5" t="s">
        <v>12</v>
      </c>
      <c r="H17" s="17"/>
    </row>
    <row r="18" spans="1:8" ht="27.6" hidden="1">
      <c r="A18" s="5">
        <f>A14+1</f>
        <v>7</v>
      </c>
      <c r="B18" s="5" t="s">
        <v>34</v>
      </c>
      <c r="C18" s="6" t="s">
        <v>35</v>
      </c>
      <c r="D18" s="5" t="s">
        <v>17</v>
      </c>
      <c r="E18" s="7">
        <v>12.5</v>
      </c>
      <c r="F18" s="5" t="s">
        <v>12</v>
      </c>
      <c r="G18" s="5" t="s">
        <v>12</v>
      </c>
      <c r="H18" s="17"/>
    </row>
    <row r="19" spans="1:8" ht="27.6">
      <c r="A19" s="82">
        <v>7</v>
      </c>
      <c r="B19" s="82" t="s">
        <v>36</v>
      </c>
      <c r="C19" s="6" t="s">
        <v>37</v>
      </c>
      <c r="D19" s="5" t="s">
        <v>17</v>
      </c>
      <c r="E19" s="5">
        <v>31.69</v>
      </c>
      <c r="F19" s="5" t="s">
        <v>12</v>
      </c>
      <c r="G19" s="5" t="s">
        <v>12</v>
      </c>
      <c r="H19" s="17"/>
    </row>
    <row r="20" spans="1:8" ht="27.6">
      <c r="A20" s="82"/>
      <c r="B20" s="82"/>
      <c r="C20" s="6" t="s">
        <v>38</v>
      </c>
      <c r="D20" s="5" t="s">
        <v>17</v>
      </c>
      <c r="E20" s="7">
        <v>20.5</v>
      </c>
      <c r="F20" s="5" t="s">
        <v>12</v>
      </c>
      <c r="G20" s="5" t="s">
        <v>12</v>
      </c>
      <c r="H20" s="17"/>
    </row>
    <row r="21" spans="1:8" ht="27.6">
      <c r="A21" s="82"/>
      <c r="B21" s="82"/>
      <c r="C21" s="6" t="s">
        <v>39</v>
      </c>
      <c r="D21" s="5" t="s">
        <v>17</v>
      </c>
      <c r="E21" s="7">
        <v>26.5</v>
      </c>
      <c r="F21" s="5" t="s">
        <v>12</v>
      </c>
      <c r="G21" s="5" t="s">
        <v>12</v>
      </c>
      <c r="H21" s="17"/>
    </row>
    <row r="22" spans="1:8">
      <c r="A22" s="85" t="s">
        <v>40</v>
      </c>
      <c r="B22" s="85"/>
      <c r="C22" s="85"/>
      <c r="D22" s="85"/>
      <c r="E22" s="85"/>
      <c r="F22" s="85"/>
      <c r="G22" s="85"/>
      <c r="H22" s="16"/>
    </row>
    <row r="23" spans="1:8" ht="27.6" hidden="1">
      <c r="A23" s="5">
        <f>A19+1</f>
        <v>8</v>
      </c>
      <c r="B23" s="8" t="s">
        <v>41</v>
      </c>
      <c r="C23" s="6" t="s">
        <v>42</v>
      </c>
      <c r="D23" s="5" t="s">
        <v>17</v>
      </c>
      <c r="E23" s="5">
        <v>17</v>
      </c>
      <c r="F23" s="5" t="s">
        <v>12</v>
      </c>
      <c r="G23" s="5" t="s">
        <v>12</v>
      </c>
      <c r="H23" s="17"/>
    </row>
    <row r="24" spans="1:8">
      <c r="A24" s="5">
        <v>8</v>
      </c>
      <c r="B24" s="5" t="s">
        <v>43</v>
      </c>
      <c r="C24" s="6" t="s">
        <v>44</v>
      </c>
      <c r="D24" s="5" t="s">
        <v>17</v>
      </c>
      <c r="E24" s="5">
        <v>8</v>
      </c>
      <c r="F24" s="5" t="s">
        <v>12</v>
      </c>
      <c r="G24" s="5" t="s">
        <v>12</v>
      </c>
      <c r="H24" s="17"/>
    </row>
    <row r="25" spans="1:8" ht="27.6">
      <c r="A25" s="83">
        <f>A23+1</f>
        <v>9</v>
      </c>
      <c r="B25" s="83" t="s">
        <v>45</v>
      </c>
      <c r="C25" s="6" t="s">
        <v>46</v>
      </c>
      <c r="D25" s="5" t="s">
        <v>17</v>
      </c>
      <c r="E25" s="7">
        <v>21.5</v>
      </c>
      <c r="F25" s="5" t="s">
        <v>12</v>
      </c>
      <c r="G25" s="5" t="s">
        <v>12</v>
      </c>
      <c r="H25" s="17"/>
    </row>
    <row r="26" spans="1:8" ht="27.6">
      <c r="A26" s="84"/>
      <c r="B26" s="84"/>
      <c r="C26" s="6" t="s">
        <v>47</v>
      </c>
      <c r="D26" s="5" t="s">
        <v>17</v>
      </c>
      <c r="E26" s="7">
        <v>13.5</v>
      </c>
      <c r="F26" s="5" t="s">
        <v>12</v>
      </c>
      <c r="G26" s="5" t="s">
        <v>12</v>
      </c>
      <c r="H26" s="17"/>
    </row>
    <row r="27" spans="1:8">
      <c r="A27" s="82">
        <v>10</v>
      </c>
      <c r="B27" s="82" t="s">
        <v>48</v>
      </c>
      <c r="C27" s="6" t="s">
        <v>49</v>
      </c>
      <c r="D27" s="5" t="s">
        <v>17</v>
      </c>
      <c r="E27" s="5">
        <v>1.87</v>
      </c>
      <c r="F27" s="5" t="s">
        <v>12</v>
      </c>
      <c r="G27" s="5" t="s">
        <v>12</v>
      </c>
      <c r="H27" s="17"/>
    </row>
    <row r="28" spans="1:8">
      <c r="A28" s="82"/>
      <c r="B28" s="82"/>
      <c r="C28" s="6" t="s">
        <v>50</v>
      </c>
      <c r="D28" s="5" t="s">
        <v>17</v>
      </c>
      <c r="E28" s="5">
        <v>2.95</v>
      </c>
      <c r="F28" s="5" t="s">
        <v>12</v>
      </c>
      <c r="G28" s="5" t="s">
        <v>12</v>
      </c>
      <c r="H28" s="17"/>
    </row>
    <row r="29" spans="1:8">
      <c r="A29" s="82"/>
      <c r="B29" s="82"/>
      <c r="C29" s="6" t="s">
        <v>51</v>
      </c>
      <c r="D29" s="5" t="s">
        <v>17</v>
      </c>
      <c r="E29" s="5">
        <v>15.02</v>
      </c>
      <c r="F29" s="5"/>
      <c r="G29" s="5"/>
      <c r="H29" s="17"/>
    </row>
    <row r="30" spans="1:8" ht="27.6">
      <c r="A30" s="82"/>
      <c r="B30" s="82"/>
      <c r="C30" s="6" t="s">
        <v>52</v>
      </c>
      <c r="D30" s="5" t="s">
        <v>17</v>
      </c>
      <c r="E30" s="5">
        <v>38.06</v>
      </c>
      <c r="F30" s="5"/>
      <c r="G30" s="5"/>
      <c r="H30" s="17"/>
    </row>
    <row r="31" spans="1:8" ht="27.6">
      <c r="A31" s="82"/>
      <c r="B31" s="82"/>
      <c r="C31" s="6" t="s">
        <v>53</v>
      </c>
      <c r="D31" s="5" t="s">
        <v>17</v>
      </c>
      <c r="E31" s="5">
        <v>36</v>
      </c>
      <c r="F31" s="5"/>
      <c r="G31" s="5"/>
      <c r="H31" s="17"/>
    </row>
    <row r="32" spans="1:8">
      <c r="A32" s="85" t="s">
        <v>54</v>
      </c>
      <c r="B32" s="85"/>
      <c r="C32" s="85"/>
      <c r="D32" s="85"/>
      <c r="E32" s="85"/>
      <c r="F32" s="85"/>
      <c r="G32" s="85"/>
      <c r="H32" s="16"/>
    </row>
    <row r="33" spans="1:13">
      <c r="A33" s="82">
        <f>A27+1</f>
        <v>11</v>
      </c>
      <c r="B33" s="82" t="s">
        <v>55</v>
      </c>
      <c r="C33" s="6" t="s">
        <v>56</v>
      </c>
      <c r="D33" s="5" t="s">
        <v>17</v>
      </c>
      <c r="E33" s="5">
        <v>7</v>
      </c>
      <c r="F33" s="5" t="s">
        <v>12</v>
      </c>
      <c r="G33" s="5" t="s">
        <v>12</v>
      </c>
      <c r="H33" s="17"/>
    </row>
    <row r="34" spans="1:13">
      <c r="A34" s="82"/>
      <c r="B34" s="82"/>
      <c r="C34" s="6" t="s">
        <v>57</v>
      </c>
      <c r="D34" s="5" t="s">
        <v>17</v>
      </c>
      <c r="E34" s="5">
        <v>9</v>
      </c>
      <c r="F34" s="5" t="s">
        <v>12</v>
      </c>
      <c r="G34" s="5" t="s">
        <v>12</v>
      </c>
      <c r="H34" s="17"/>
    </row>
    <row r="35" spans="1:13" ht="27.6">
      <c r="A35" s="82"/>
      <c r="B35" s="82"/>
      <c r="C35" s="6" t="s">
        <v>58</v>
      </c>
      <c r="D35" s="5" t="s">
        <v>17</v>
      </c>
      <c r="E35" s="5">
        <v>23</v>
      </c>
      <c r="F35" s="5" t="s">
        <v>12</v>
      </c>
      <c r="G35" s="5" t="s">
        <v>12</v>
      </c>
      <c r="H35" s="17"/>
    </row>
    <row r="36" spans="1:13" ht="27.6">
      <c r="A36" s="82"/>
      <c r="B36" s="82"/>
      <c r="C36" s="6" t="s">
        <v>59</v>
      </c>
      <c r="D36" s="5" t="s">
        <v>17</v>
      </c>
      <c r="E36" s="5">
        <v>28</v>
      </c>
      <c r="F36" s="5" t="s">
        <v>12</v>
      </c>
      <c r="G36" s="5" t="s">
        <v>12</v>
      </c>
      <c r="H36" s="17"/>
    </row>
    <row r="37" spans="1:13">
      <c r="A37" s="85" t="s">
        <v>60</v>
      </c>
      <c r="B37" s="85"/>
      <c r="C37" s="85"/>
      <c r="D37" s="85"/>
      <c r="E37" s="85"/>
      <c r="F37" s="85"/>
      <c r="G37" s="85"/>
      <c r="H37" s="16"/>
    </row>
    <row r="38" spans="1:13" ht="27.6">
      <c r="A38" s="5">
        <f>A33+1</f>
        <v>12</v>
      </c>
      <c r="B38" s="5" t="s">
        <v>61</v>
      </c>
      <c r="C38" s="6" t="s">
        <v>62</v>
      </c>
      <c r="D38" s="5" t="s">
        <v>17</v>
      </c>
      <c r="E38" s="5">
        <v>9</v>
      </c>
      <c r="F38" s="5" t="s">
        <v>12</v>
      </c>
      <c r="G38" s="5" t="s">
        <v>12</v>
      </c>
      <c r="H38" s="17"/>
    </row>
    <row r="39" spans="1:13" ht="27.6">
      <c r="A39" s="83">
        <v>13</v>
      </c>
      <c r="B39" s="83" t="s">
        <v>63</v>
      </c>
      <c r="C39" s="6" t="s">
        <v>64</v>
      </c>
      <c r="D39" s="5" t="s">
        <v>65</v>
      </c>
      <c r="E39" s="5">
        <v>22</v>
      </c>
      <c r="F39" s="5"/>
      <c r="G39" s="5"/>
      <c r="H39" s="17"/>
    </row>
    <row r="40" spans="1:13" ht="35.25" customHeight="1">
      <c r="A40" s="84"/>
      <c r="B40" s="84"/>
      <c r="C40" s="6" t="s">
        <v>66</v>
      </c>
      <c r="D40" s="5" t="s">
        <v>65</v>
      </c>
      <c r="E40" s="5">
        <v>23.5</v>
      </c>
      <c r="F40" s="5"/>
      <c r="G40" s="5"/>
      <c r="H40" s="17"/>
    </row>
    <row r="41" spans="1:13" ht="18" customHeight="1">
      <c r="A41" s="85" t="s">
        <v>67</v>
      </c>
      <c r="B41" s="85"/>
      <c r="C41" s="85"/>
      <c r="D41" s="85"/>
      <c r="E41" s="85"/>
      <c r="F41" s="85"/>
      <c r="G41" s="85"/>
      <c r="H41" s="16"/>
    </row>
    <row r="42" spans="1:13" ht="18" customHeight="1">
      <c r="A42" s="83">
        <v>14</v>
      </c>
      <c r="B42" s="83" t="s">
        <v>68</v>
      </c>
      <c r="C42" s="6" t="s">
        <v>69</v>
      </c>
      <c r="D42" s="5" t="s">
        <v>65</v>
      </c>
      <c r="E42" s="5">
        <v>60</v>
      </c>
      <c r="F42" s="12"/>
      <c r="G42" s="12"/>
      <c r="I42">
        <f>H42*2274</f>
        <v>0</v>
      </c>
    </row>
    <row r="43" spans="1:13" ht="18" customHeight="1">
      <c r="A43" s="86"/>
      <c r="B43" s="86"/>
      <c r="C43" s="6" t="s">
        <v>70</v>
      </c>
      <c r="D43" s="5" t="s">
        <v>65</v>
      </c>
      <c r="E43" s="5">
        <v>60</v>
      </c>
      <c r="F43" s="12"/>
      <c r="G43" s="12"/>
      <c r="H43" s="16"/>
      <c r="I43">
        <f>H43*2979</f>
        <v>0</v>
      </c>
    </row>
    <row r="44" spans="1:13" ht="18" customHeight="1">
      <c r="A44" s="86"/>
      <c r="B44" s="86"/>
      <c r="C44" s="87" t="s">
        <v>71</v>
      </c>
      <c r="D44" s="83" t="s">
        <v>72</v>
      </c>
      <c r="E44" s="7">
        <v>4</v>
      </c>
      <c r="F44" s="5" t="s">
        <v>12</v>
      </c>
      <c r="G44" s="5" t="s">
        <v>12</v>
      </c>
      <c r="H44" s="17"/>
      <c r="I44">
        <f>SUM(I42:I43)</f>
        <v>0</v>
      </c>
    </row>
    <row r="45" spans="1:13" ht="18" customHeight="1">
      <c r="A45" s="86"/>
      <c r="B45" s="86"/>
      <c r="C45" s="88"/>
      <c r="D45" s="86"/>
      <c r="E45" s="7">
        <v>5.5</v>
      </c>
      <c r="F45" s="5" t="s">
        <v>12</v>
      </c>
      <c r="G45" s="5" t="s">
        <v>12</v>
      </c>
      <c r="H45" s="17"/>
      <c r="I45">
        <f>I44/1000</f>
        <v>0</v>
      </c>
      <c r="K45">
        <f>I45/30</f>
        <v>0</v>
      </c>
      <c r="M45">
        <f>2979+2274</f>
        <v>5253</v>
      </c>
    </row>
    <row r="46" spans="1:13" ht="18" customHeight="1">
      <c r="A46" s="84"/>
      <c r="B46" s="84"/>
      <c r="C46" s="89"/>
      <c r="D46" s="84"/>
      <c r="E46" s="5">
        <v>6</v>
      </c>
      <c r="F46" s="5" t="s">
        <v>12</v>
      </c>
      <c r="G46" s="5" t="s">
        <v>12</v>
      </c>
      <c r="H46" s="17"/>
      <c r="M46">
        <f>M45/30</f>
        <v>175.1</v>
      </c>
    </row>
    <row r="47" spans="1:13" ht="41.45" hidden="1">
      <c r="A47" s="5">
        <v>16</v>
      </c>
      <c r="B47" s="8" t="s">
        <v>73</v>
      </c>
      <c r="C47" s="9" t="s">
        <v>74</v>
      </c>
      <c r="D47" s="5" t="s">
        <v>17</v>
      </c>
      <c r="E47" s="10">
        <v>13</v>
      </c>
      <c r="F47" s="5" t="s">
        <v>12</v>
      </c>
      <c r="G47" s="5" t="s">
        <v>12</v>
      </c>
      <c r="H47" s="17"/>
    </row>
    <row r="48" spans="1:13">
      <c r="A48" s="82">
        <v>15</v>
      </c>
      <c r="B48" s="82" t="s">
        <v>75</v>
      </c>
      <c r="C48" s="9" t="s">
        <v>76</v>
      </c>
      <c r="D48" s="5" t="s">
        <v>17</v>
      </c>
      <c r="E48" s="5">
        <v>6</v>
      </c>
      <c r="F48" s="5"/>
      <c r="G48" s="90" t="s">
        <v>77</v>
      </c>
      <c r="H48" s="23"/>
      <c r="I48" s="22"/>
      <c r="J48" s="92" t="s">
        <v>78</v>
      </c>
      <c r="K48" s="92" t="s">
        <v>79</v>
      </c>
    </row>
    <row r="49" spans="1:15" ht="27.6">
      <c r="A49" s="82"/>
      <c r="B49" s="82"/>
      <c r="C49" s="9" t="s">
        <v>80</v>
      </c>
      <c r="D49" s="5" t="s">
        <v>17</v>
      </c>
      <c r="E49" s="5">
        <v>9</v>
      </c>
      <c r="F49" s="5"/>
      <c r="G49" s="90"/>
      <c r="H49" s="23"/>
      <c r="I49" s="22"/>
      <c r="J49" s="92"/>
      <c r="K49" s="92"/>
    </row>
    <row r="50" spans="1:15" ht="27.6">
      <c r="A50" s="82"/>
      <c r="B50" s="82"/>
      <c r="C50" s="9" t="s">
        <v>81</v>
      </c>
      <c r="D50" s="5" t="s">
        <v>17</v>
      </c>
      <c r="E50" s="5">
        <v>18</v>
      </c>
      <c r="F50" s="5"/>
      <c r="G50" s="21"/>
      <c r="H50" s="23"/>
      <c r="I50" s="22"/>
      <c r="J50" s="2"/>
      <c r="K50" s="2"/>
    </row>
    <row r="51" spans="1:15" ht="27.6">
      <c r="A51" s="82"/>
      <c r="B51" s="82"/>
      <c r="C51" s="9" t="s">
        <v>82</v>
      </c>
      <c r="D51" s="5" t="s">
        <v>17</v>
      </c>
      <c r="E51" s="5">
        <v>27</v>
      </c>
      <c r="F51" s="5"/>
      <c r="G51" s="21" t="s">
        <v>77</v>
      </c>
      <c r="H51" s="23"/>
      <c r="I51" s="22"/>
      <c r="J51" s="11" t="s">
        <v>83</v>
      </c>
      <c r="K51" s="11" t="s">
        <v>84</v>
      </c>
    </row>
    <row r="52" spans="1:15" ht="18" customHeight="1">
      <c r="A52" s="85" t="s">
        <v>85</v>
      </c>
      <c r="B52" s="85"/>
      <c r="C52" s="85"/>
      <c r="D52" s="85"/>
      <c r="E52" s="85"/>
      <c r="F52" s="85"/>
      <c r="G52" s="85"/>
      <c r="H52" s="16"/>
    </row>
    <row r="53" spans="1:15">
      <c r="A53" s="83">
        <v>16</v>
      </c>
      <c r="B53" s="87" t="s">
        <v>86</v>
      </c>
      <c r="C53" s="9" t="s">
        <v>87</v>
      </c>
      <c r="D53" s="5" t="s">
        <v>17</v>
      </c>
      <c r="E53" s="10">
        <v>2.4</v>
      </c>
      <c r="F53" s="5" t="s">
        <v>12</v>
      </c>
      <c r="G53" s="5" t="s">
        <v>12</v>
      </c>
      <c r="H53" s="18"/>
    </row>
    <row r="54" spans="1:15">
      <c r="A54" s="86"/>
      <c r="B54" s="88"/>
      <c r="C54" s="9" t="s">
        <v>88</v>
      </c>
      <c r="D54" s="5" t="s">
        <v>17</v>
      </c>
      <c r="E54" s="10">
        <v>2.4</v>
      </c>
      <c r="F54" s="5" t="s">
        <v>12</v>
      </c>
      <c r="G54" s="5" t="s">
        <v>12</v>
      </c>
      <c r="H54" s="18"/>
    </row>
    <row r="55" spans="1:15">
      <c r="A55" s="86"/>
      <c r="B55" s="88"/>
      <c r="C55" s="9" t="s">
        <v>89</v>
      </c>
      <c r="D55" s="5" t="s">
        <v>17</v>
      </c>
      <c r="E55" s="10">
        <v>2.4</v>
      </c>
      <c r="F55" s="5" t="s">
        <v>12</v>
      </c>
      <c r="G55" s="5" t="s">
        <v>12</v>
      </c>
      <c r="H55" s="18"/>
      <c r="I55">
        <f>600*9.14</f>
        <v>5484</v>
      </c>
    </row>
    <row r="56" spans="1:15">
      <c r="A56" s="84"/>
      <c r="B56" s="89"/>
      <c r="C56" s="9" t="s">
        <v>90</v>
      </c>
      <c r="D56" s="5" t="s">
        <v>17</v>
      </c>
      <c r="E56" s="10">
        <v>2.4</v>
      </c>
      <c r="F56" s="5" t="s">
        <v>12</v>
      </c>
      <c r="G56" s="5" t="s">
        <v>12</v>
      </c>
      <c r="H56" s="18"/>
      <c r="I56">
        <f>3180*9.14</f>
        <v>29065.200000000001</v>
      </c>
    </row>
    <row r="57" spans="1:15">
      <c r="A57" s="85" t="s">
        <v>91</v>
      </c>
      <c r="B57" s="85"/>
      <c r="C57" s="85"/>
      <c r="D57" s="85"/>
      <c r="E57" s="85"/>
      <c r="F57" s="85"/>
      <c r="G57" s="85"/>
      <c r="H57" s="16"/>
      <c r="I57">
        <f>SUM(I55:I56)</f>
        <v>34549.199999999997</v>
      </c>
    </row>
    <row r="58" spans="1:15" ht="42.75" customHeight="1">
      <c r="A58" s="82">
        <f>A53+1</f>
        <v>17</v>
      </c>
      <c r="B58" s="82" t="s">
        <v>92</v>
      </c>
      <c r="C58" s="6" t="s">
        <v>93</v>
      </c>
      <c r="D58" s="5" t="s">
        <v>11</v>
      </c>
      <c r="E58" s="7">
        <v>183.0650073742097</v>
      </c>
      <c r="F58" s="5"/>
      <c r="G58" s="5"/>
      <c r="H58" s="17"/>
      <c r="I58">
        <f>I57/1000</f>
        <v>34.549199999999999</v>
      </c>
      <c r="O58">
        <f>13000*9.14</f>
        <v>118820.00000000001</v>
      </c>
    </row>
    <row r="59" spans="1:15">
      <c r="A59" s="82"/>
      <c r="B59" s="82"/>
      <c r="C59" s="6" t="s">
        <v>71</v>
      </c>
      <c r="D59" s="5" t="s">
        <v>72</v>
      </c>
      <c r="E59" s="7">
        <v>9</v>
      </c>
      <c r="F59" s="5"/>
      <c r="G59" s="5"/>
      <c r="H59" s="17"/>
      <c r="I59">
        <f>I45+I58</f>
        <v>34.549199999999999</v>
      </c>
    </row>
    <row r="60" spans="1:15" hidden="1">
      <c r="A60" s="82">
        <f>A58+1</f>
        <v>18</v>
      </c>
      <c r="B60" s="82" t="s">
        <v>75</v>
      </c>
      <c r="C60" s="9" t="s">
        <v>76</v>
      </c>
      <c r="D60" s="5" t="s">
        <v>17</v>
      </c>
      <c r="E60" s="5">
        <v>6</v>
      </c>
      <c r="F60" s="5" t="s">
        <v>12</v>
      </c>
      <c r="G60" s="5" t="s">
        <v>12</v>
      </c>
      <c r="H60" s="17"/>
    </row>
    <row r="61" spans="1:15" ht="27.6" hidden="1">
      <c r="A61" s="82"/>
      <c r="B61" s="82"/>
      <c r="C61" s="9" t="s">
        <v>80</v>
      </c>
      <c r="D61" s="5" t="s">
        <v>17</v>
      </c>
      <c r="E61" s="5">
        <v>9</v>
      </c>
      <c r="F61" s="5" t="s">
        <v>12</v>
      </c>
      <c r="G61" s="5" t="s">
        <v>12</v>
      </c>
      <c r="H61" s="17"/>
    </row>
    <row r="62" spans="1:15" ht="27.6" hidden="1">
      <c r="A62" s="82"/>
      <c r="B62" s="82"/>
      <c r="C62" s="9" t="s">
        <v>82</v>
      </c>
      <c r="D62" s="5" t="s">
        <v>17</v>
      </c>
      <c r="E62" s="5">
        <v>27</v>
      </c>
      <c r="F62" s="5" t="s">
        <v>12</v>
      </c>
      <c r="G62" s="5" t="s">
        <v>12</v>
      </c>
      <c r="H62" s="19"/>
    </row>
    <row r="63" spans="1:15">
      <c r="A63" s="91" t="s">
        <v>94</v>
      </c>
      <c r="B63" s="91"/>
      <c r="C63" s="91"/>
      <c r="D63" s="91"/>
      <c r="E63" s="91"/>
      <c r="F63" s="91"/>
      <c r="G63" s="91"/>
      <c r="H63" s="20"/>
      <c r="I63">
        <f>I59/30</f>
        <v>1.15164</v>
      </c>
      <c r="M63">
        <f>13500*9.14</f>
        <v>123390.00000000001</v>
      </c>
    </row>
    <row r="64" spans="1:15" ht="41.45">
      <c r="A64" s="5">
        <v>18</v>
      </c>
      <c r="B64" s="5" t="s">
        <v>95</v>
      </c>
      <c r="C64" s="9" t="s">
        <v>96</v>
      </c>
      <c r="D64" s="5" t="s">
        <v>17</v>
      </c>
      <c r="E64" s="5">
        <v>5.75</v>
      </c>
      <c r="F64" s="5" t="s">
        <v>12</v>
      </c>
      <c r="G64" s="5" t="s">
        <v>12</v>
      </c>
      <c r="H64" s="17"/>
    </row>
    <row r="65" spans="1:8">
      <c r="A65" s="85" t="s">
        <v>97</v>
      </c>
      <c r="B65" s="85"/>
      <c r="C65" s="85"/>
      <c r="D65" s="85"/>
      <c r="E65" s="85"/>
      <c r="F65" s="85"/>
      <c r="G65" s="85"/>
      <c r="H65" s="16"/>
    </row>
    <row r="66" spans="1:8">
      <c r="A66" s="82">
        <f>A64+1</f>
        <v>19</v>
      </c>
      <c r="B66" s="82" t="s">
        <v>98</v>
      </c>
      <c r="C66" s="6" t="s">
        <v>99</v>
      </c>
      <c r="D66" s="5" t="s">
        <v>17</v>
      </c>
      <c r="E66" s="5">
        <v>25</v>
      </c>
      <c r="F66" s="5" t="s">
        <v>12</v>
      </c>
      <c r="G66" s="5" t="s">
        <v>12</v>
      </c>
      <c r="H66" s="17"/>
    </row>
    <row r="67" spans="1:8">
      <c r="A67" s="82"/>
      <c r="B67" s="82"/>
      <c r="C67" s="6" t="s">
        <v>100</v>
      </c>
      <c r="D67" s="5" t="s">
        <v>17</v>
      </c>
      <c r="E67" s="5">
        <v>30</v>
      </c>
      <c r="F67" s="5" t="s">
        <v>12</v>
      </c>
      <c r="G67" s="5" t="s">
        <v>12</v>
      </c>
      <c r="H67" s="17"/>
    </row>
    <row r="68" spans="1:8">
      <c r="A68" s="85" t="s">
        <v>101</v>
      </c>
      <c r="B68" s="85"/>
      <c r="C68" s="85"/>
      <c r="D68" s="85"/>
      <c r="E68" s="85"/>
      <c r="F68" s="85"/>
      <c r="G68" s="85"/>
      <c r="H68" s="16"/>
    </row>
    <row r="69" spans="1:8" ht="27.6">
      <c r="A69" s="82">
        <f>A66+1</f>
        <v>20</v>
      </c>
      <c r="B69" s="82" t="s">
        <v>102</v>
      </c>
      <c r="C69" s="6" t="s">
        <v>103</v>
      </c>
      <c r="D69" s="5" t="s">
        <v>11</v>
      </c>
      <c r="E69" s="5">
        <v>54</v>
      </c>
      <c r="F69" s="5" t="s">
        <v>12</v>
      </c>
      <c r="G69" s="5" t="s">
        <v>12</v>
      </c>
      <c r="H69" s="17"/>
    </row>
    <row r="70" spans="1:8" ht="27.6">
      <c r="A70" s="82"/>
      <c r="B70" s="82"/>
      <c r="C70" s="6" t="s">
        <v>104</v>
      </c>
      <c r="D70" s="5" t="s">
        <v>11</v>
      </c>
      <c r="E70" s="5">
        <v>29</v>
      </c>
      <c r="F70" s="5"/>
      <c r="G70" s="5"/>
      <c r="H70" s="17"/>
    </row>
    <row r="71" spans="1:8" ht="41.45">
      <c r="A71" s="82"/>
      <c r="B71" s="82"/>
      <c r="C71" s="6" t="s">
        <v>105</v>
      </c>
      <c r="D71" s="5" t="s">
        <v>17</v>
      </c>
      <c r="E71" s="5">
        <v>15</v>
      </c>
      <c r="F71" s="5" t="s">
        <v>12</v>
      </c>
      <c r="G71" s="5" t="s">
        <v>12</v>
      </c>
      <c r="H71" s="17"/>
    </row>
    <row r="72" spans="1:8" ht="27.6">
      <c r="A72" s="82"/>
      <c r="B72" s="82"/>
      <c r="C72" s="6" t="s">
        <v>106</v>
      </c>
      <c r="D72" s="5" t="s">
        <v>17</v>
      </c>
      <c r="E72" s="5">
        <v>37</v>
      </c>
      <c r="F72" s="5" t="s">
        <v>12</v>
      </c>
      <c r="G72" s="5" t="s">
        <v>12</v>
      </c>
      <c r="H72" s="17"/>
    </row>
    <row r="73" spans="1:8" ht="27.6">
      <c r="A73" s="82"/>
      <c r="B73" s="82"/>
      <c r="C73" s="6" t="s">
        <v>107</v>
      </c>
      <c r="D73" s="5" t="s">
        <v>17</v>
      </c>
      <c r="E73" s="5">
        <v>52</v>
      </c>
      <c r="F73" s="5" t="s">
        <v>12</v>
      </c>
      <c r="G73" s="5" t="s">
        <v>12</v>
      </c>
      <c r="H73" s="17"/>
    </row>
    <row r="74" spans="1:8">
      <c r="A74" s="82"/>
      <c r="B74" s="82"/>
      <c r="C74" s="6" t="s">
        <v>108</v>
      </c>
      <c r="D74" s="5" t="s">
        <v>17</v>
      </c>
      <c r="E74" s="5">
        <v>54</v>
      </c>
      <c r="F74" s="5" t="s">
        <v>12</v>
      </c>
      <c r="G74" s="5" t="s">
        <v>12</v>
      </c>
      <c r="H74" s="17"/>
    </row>
    <row r="75" spans="1:8">
      <c r="A75" s="82">
        <f>A69+1</f>
        <v>21</v>
      </c>
      <c r="B75" s="82" t="s">
        <v>109</v>
      </c>
      <c r="C75" s="6" t="s">
        <v>110</v>
      </c>
      <c r="D75" s="5" t="s">
        <v>11</v>
      </c>
      <c r="E75" s="5">
        <v>168</v>
      </c>
      <c r="F75" s="5" t="s">
        <v>12</v>
      </c>
      <c r="G75" s="5" t="s">
        <v>12</v>
      </c>
      <c r="H75" s="17"/>
    </row>
    <row r="76" spans="1:8">
      <c r="A76" s="82"/>
      <c r="B76" s="82"/>
      <c r="C76" s="6" t="s">
        <v>111</v>
      </c>
      <c r="D76" s="5" t="s">
        <v>17</v>
      </c>
      <c r="E76" s="5">
        <v>43</v>
      </c>
      <c r="F76" s="5" t="s">
        <v>12</v>
      </c>
      <c r="G76" s="5" t="s">
        <v>12</v>
      </c>
      <c r="H76" s="17"/>
    </row>
    <row r="77" spans="1:8" ht="27.6">
      <c r="A77" s="5">
        <f>A75+1</f>
        <v>22</v>
      </c>
      <c r="B77" s="5" t="s">
        <v>112</v>
      </c>
      <c r="C77" s="6" t="s">
        <v>110</v>
      </c>
      <c r="D77" s="5" t="s">
        <v>11</v>
      </c>
      <c r="E77" s="5">
        <v>180</v>
      </c>
      <c r="F77" s="5" t="s">
        <v>12</v>
      </c>
      <c r="G77" s="5" t="s">
        <v>12</v>
      </c>
      <c r="H77" s="17"/>
    </row>
    <row r="78" spans="1:8">
      <c r="A78" s="82">
        <f>A77+1</f>
        <v>23</v>
      </c>
      <c r="B78" s="82" t="s">
        <v>113</v>
      </c>
      <c r="C78" s="6" t="s">
        <v>114</v>
      </c>
      <c r="D78" s="5" t="s">
        <v>11</v>
      </c>
      <c r="E78" s="5">
        <v>58</v>
      </c>
      <c r="F78" s="5" t="s">
        <v>12</v>
      </c>
      <c r="G78" s="5" t="s">
        <v>12</v>
      </c>
      <c r="H78" s="17"/>
    </row>
    <row r="79" spans="1:8">
      <c r="A79" s="82"/>
      <c r="B79" s="82"/>
      <c r="C79" s="6" t="s">
        <v>115</v>
      </c>
      <c r="D79" s="5" t="s">
        <v>11</v>
      </c>
      <c r="E79" s="5">
        <v>67</v>
      </c>
      <c r="F79" s="5" t="s">
        <v>12</v>
      </c>
      <c r="G79" s="5" t="s">
        <v>12</v>
      </c>
      <c r="H79" s="17"/>
    </row>
    <row r="80" spans="1:8" ht="27.6">
      <c r="A80" s="82"/>
      <c r="B80" s="82"/>
      <c r="C80" s="6" t="s">
        <v>116</v>
      </c>
      <c r="D80" s="5" t="s">
        <v>11</v>
      </c>
      <c r="E80" s="5">
        <v>180</v>
      </c>
      <c r="F80" s="5" t="s">
        <v>12</v>
      </c>
      <c r="G80" s="5" t="s">
        <v>12</v>
      </c>
      <c r="H80" s="17"/>
    </row>
    <row r="81" spans="1:8" ht="27.6">
      <c r="A81" s="82"/>
      <c r="B81" s="82"/>
      <c r="C81" s="6" t="s">
        <v>117</v>
      </c>
      <c r="D81" s="5" t="s">
        <v>11</v>
      </c>
      <c r="E81" s="5">
        <v>185</v>
      </c>
      <c r="F81" s="5" t="s">
        <v>12</v>
      </c>
      <c r="G81" s="5" t="s">
        <v>12</v>
      </c>
      <c r="H81" s="17"/>
    </row>
    <row r="82" spans="1:8" ht="27.6">
      <c r="A82" s="82"/>
      <c r="B82" s="82"/>
      <c r="C82" s="6" t="s">
        <v>118</v>
      </c>
      <c r="D82" s="5" t="s">
        <v>11</v>
      </c>
      <c r="E82" s="5">
        <v>205</v>
      </c>
      <c r="F82" s="5" t="s">
        <v>12</v>
      </c>
      <c r="G82" s="5" t="s">
        <v>12</v>
      </c>
      <c r="H82" s="17"/>
    </row>
    <row r="83" spans="1:8">
      <c r="A83" s="82">
        <f>A78+1</f>
        <v>24</v>
      </c>
      <c r="B83" s="82" t="s">
        <v>119</v>
      </c>
      <c r="C83" s="8" t="s">
        <v>120</v>
      </c>
      <c r="D83" s="5" t="s">
        <v>11</v>
      </c>
      <c r="E83" s="5">
        <v>75</v>
      </c>
      <c r="F83" s="5" t="s">
        <v>12</v>
      </c>
      <c r="G83" s="5" t="s">
        <v>12</v>
      </c>
      <c r="H83" s="17"/>
    </row>
    <row r="84" spans="1:8" ht="41.45">
      <c r="A84" s="82"/>
      <c r="B84" s="82"/>
      <c r="C84" s="8" t="s">
        <v>121</v>
      </c>
      <c r="D84" s="5" t="s">
        <v>11</v>
      </c>
      <c r="E84" s="5">
        <v>10</v>
      </c>
      <c r="F84" s="5" t="s">
        <v>12</v>
      </c>
      <c r="G84" s="5" t="s">
        <v>12</v>
      </c>
      <c r="H84" s="17"/>
    </row>
    <row r="85" spans="1:8" ht="55.15">
      <c r="A85" s="5">
        <f>A83+1</f>
        <v>25</v>
      </c>
      <c r="B85" s="5" t="s">
        <v>122</v>
      </c>
      <c r="C85" s="6" t="s">
        <v>123</v>
      </c>
      <c r="D85" s="5" t="s">
        <v>11</v>
      </c>
      <c r="E85" s="5">
        <v>28</v>
      </c>
      <c r="F85" s="5" t="s">
        <v>12</v>
      </c>
      <c r="G85" s="5" t="s">
        <v>12</v>
      </c>
      <c r="H85" s="17"/>
    </row>
    <row r="86" spans="1:8" ht="55.15">
      <c r="A86" s="5">
        <f>A85+1</f>
        <v>26</v>
      </c>
      <c r="B86" s="5" t="s">
        <v>124</v>
      </c>
      <c r="C86" s="6" t="s">
        <v>125</v>
      </c>
      <c r="D86" s="5" t="s">
        <v>11</v>
      </c>
      <c r="E86" s="5">
        <v>20</v>
      </c>
      <c r="F86" s="5" t="s">
        <v>12</v>
      </c>
      <c r="G86" s="5" t="s">
        <v>12</v>
      </c>
      <c r="H86" s="17"/>
    </row>
    <row r="87" spans="1:8" ht="41.45">
      <c r="A87" s="5">
        <f>A86+1</f>
        <v>27</v>
      </c>
      <c r="B87" s="5" t="s">
        <v>126</v>
      </c>
      <c r="C87" s="6" t="s">
        <v>127</v>
      </c>
      <c r="D87" s="5" t="s">
        <v>11</v>
      </c>
      <c r="E87" s="5">
        <v>37</v>
      </c>
      <c r="F87" s="5" t="s">
        <v>12</v>
      </c>
      <c r="G87" s="5" t="s">
        <v>12</v>
      </c>
      <c r="H87" s="17"/>
    </row>
  </sheetData>
  <mergeCells count="52">
    <mergeCell ref="J48:J49"/>
    <mergeCell ref="K48:K49"/>
    <mergeCell ref="A1:G1"/>
    <mergeCell ref="A2:G2"/>
    <mergeCell ref="A4:G4"/>
    <mergeCell ref="A7:G7"/>
    <mergeCell ref="A8:A9"/>
    <mergeCell ref="B8:B9"/>
    <mergeCell ref="A19:A21"/>
    <mergeCell ref="B14:B17"/>
    <mergeCell ref="A14:A17"/>
    <mergeCell ref="A63:G63"/>
    <mergeCell ref="A65:G65"/>
    <mergeCell ref="A66:A67"/>
    <mergeCell ref="B66:B67"/>
    <mergeCell ref="A83:A84"/>
    <mergeCell ref="B83:B84"/>
    <mergeCell ref="A68:G68"/>
    <mergeCell ref="A69:A74"/>
    <mergeCell ref="B69:B74"/>
    <mergeCell ref="A75:A76"/>
    <mergeCell ref="B75:B76"/>
    <mergeCell ref="A78:A82"/>
    <mergeCell ref="B78:B82"/>
    <mergeCell ref="A52:G52"/>
    <mergeCell ref="A53:A56"/>
    <mergeCell ref="B53:B56"/>
    <mergeCell ref="A57:G57"/>
    <mergeCell ref="A41:G41"/>
    <mergeCell ref="C44:C46"/>
    <mergeCell ref="D44:D46"/>
    <mergeCell ref="B42:B46"/>
    <mergeCell ref="A42:A46"/>
    <mergeCell ref="A48:A51"/>
    <mergeCell ref="B48:B51"/>
    <mergeCell ref="G48:G49"/>
    <mergeCell ref="A60:A62"/>
    <mergeCell ref="B19:B21"/>
    <mergeCell ref="B25:B26"/>
    <mergeCell ref="A25:A26"/>
    <mergeCell ref="B39:B40"/>
    <mergeCell ref="A39:A40"/>
    <mergeCell ref="A37:G37"/>
    <mergeCell ref="A22:G22"/>
    <mergeCell ref="A27:A31"/>
    <mergeCell ref="B27:B31"/>
    <mergeCell ref="A32:G32"/>
    <mergeCell ref="A33:A36"/>
    <mergeCell ref="B33:B36"/>
    <mergeCell ref="A58:A59"/>
    <mergeCell ref="B58:B59"/>
    <mergeCell ref="B60:B62"/>
  </mergeCells>
  <phoneticPr fontId="10" type="noConversion"/>
  <printOptions gridLines="1"/>
  <pageMargins left="0.51181102362204722" right="0.11811023622047245" top="0.35433070866141736" bottom="0.55118110236220474" header="0.31496062992125984" footer="0.31496062992125984"/>
  <pageSetup paperSize="8" scale="76" fitToHeight="2" orientation="landscape" r:id="rId1"/>
  <headerFooter>
    <oddFooter xml:space="preserve">&amp;L&amp;"Cambria"&amp;11&amp;KFF751A </oddFooter>
  </headerFooter>
  <rowBreaks count="1" manualBreakCount="1">
    <brk id="31" max="1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CDBA7-6C42-4AA8-9A24-8C9DA4BDDDFD}">
  <dimension ref="A1:O13"/>
  <sheetViews>
    <sheetView topLeftCell="D1" workbookViewId="0">
      <selection activeCell="L3" sqref="L3:L11"/>
    </sheetView>
  </sheetViews>
  <sheetFormatPr defaultRowHeight="14.45"/>
  <cols>
    <col min="1" max="1" width="16" bestFit="1" customWidth="1"/>
    <col min="3" max="3" width="5" bestFit="1" customWidth="1"/>
    <col min="4" max="4" width="35.85546875" customWidth="1"/>
    <col min="5" max="5" width="10.140625" bestFit="1" customWidth="1"/>
    <col min="6" max="7" width="11.5703125" bestFit="1" customWidth="1"/>
    <col min="8" max="8" width="10.140625" bestFit="1" customWidth="1"/>
    <col min="9" max="9" width="9.140625" bestFit="1" customWidth="1"/>
    <col min="10" max="10" width="14.140625" customWidth="1"/>
    <col min="11" max="11" width="17" customWidth="1"/>
    <col min="12" max="12" width="12.140625" customWidth="1"/>
    <col min="13" max="13" width="27.42578125" customWidth="1"/>
  </cols>
  <sheetData>
    <row r="1" spans="1:15">
      <c r="A1" s="97" t="s">
        <v>128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</row>
    <row r="2" spans="1:15" ht="27.6">
      <c r="A2" s="26" t="s">
        <v>129</v>
      </c>
      <c r="B2" s="26" t="s">
        <v>130</v>
      </c>
      <c r="C2" s="26" t="s">
        <v>131</v>
      </c>
      <c r="D2" s="25" t="s">
        <v>132</v>
      </c>
      <c r="E2" s="26" t="s">
        <v>133</v>
      </c>
      <c r="F2" s="26" t="s">
        <v>134</v>
      </c>
      <c r="G2" s="26" t="s">
        <v>135</v>
      </c>
      <c r="H2" s="26" t="s">
        <v>136</v>
      </c>
      <c r="I2" s="26" t="s">
        <v>137</v>
      </c>
      <c r="J2" s="27" t="s">
        <v>138</v>
      </c>
      <c r="K2" s="27" t="s">
        <v>139</v>
      </c>
      <c r="L2" s="27" t="s">
        <v>140</v>
      </c>
      <c r="M2" s="27" t="s">
        <v>141</v>
      </c>
    </row>
    <row r="3" spans="1:15">
      <c r="A3" s="98" t="s">
        <v>142</v>
      </c>
      <c r="B3" s="99" t="s">
        <v>143</v>
      </c>
      <c r="C3" s="26">
        <v>1</v>
      </c>
      <c r="D3" s="27" t="s">
        <v>144</v>
      </c>
      <c r="E3" s="26" t="s">
        <v>145</v>
      </c>
      <c r="F3" s="26" t="s">
        <v>146</v>
      </c>
      <c r="G3" s="26">
        <v>8</v>
      </c>
      <c r="H3" s="26" t="s">
        <v>147</v>
      </c>
      <c r="I3" s="24">
        <v>120</v>
      </c>
      <c r="J3" s="24">
        <v>90</v>
      </c>
      <c r="K3" s="24"/>
      <c r="L3" s="24">
        <f t="shared" ref="L3:L12" si="0">SUM(I3:K3)</f>
        <v>210</v>
      </c>
      <c r="M3" s="28"/>
      <c r="N3" t="s">
        <v>148</v>
      </c>
      <c r="O3" t="s">
        <v>149</v>
      </c>
    </row>
    <row r="4" spans="1:15">
      <c r="A4" s="98"/>
      <c r="B4" s="99"/>
      <c r="C4" s="26">
        <f>+C3+1</f>
        <v>2</v>
      </c>
      <c r="D4" s="27" t="s">
        <v>144</v>
      </c>
      <c r="E4" s="99" t="s">
        <v>150</v>
      </c>
      <c r="F4" s="99" t="s">
        <v>151</v>
      </c>
      <c r="G4" s="99">
        <v>15</v>
      </c>
      <c r="H4" s="99" t="s">
        <v>152</v>
      </c>
      <c r="I4" s="24">
        <v>120</v>
      </c>
      <c r="J4" s="24">
        <v>90</v>
      </c>
      <c r="K4" s="24"/>
      <c r="L4" s="24">
        <f t="shared" si="0"/>
        <v>210</v>
      </c>
      <c r="M4" s="28"/>
      <c r="N4" t="s">
        <v>153</v>
      </c>
      <c r="O4" t="s">
        <v>154</v>
      </c>
    </row>
    <row r="5" spans="1:15" ht="28.9">
      <c r="A5" s="98"/>
      <c r="B5" s="99"/>
      <c r="C5" s="26">
        <f t="shared" ref="C5:C11" si="1">+C4+1</f>
        <v>3</v>
      </c>
      <c r="D5" s="27" t="s">
        <v>155</v>
      </c>
      <c r="E5" s="99"/>
      <c r="F5" s="99"/>
      <c r="G5" s="99"/>
      <c r="H5" s="99"/>
      <c r="I5" s="24">
        <v>120</v>
      </c>
      <c r="J5" s="24">
        <v>90</v>
      </c>
      <c r="K5" s="24">
        <v>180</v>
      </c>
      <c r="L5" s="24">
        <f t="shared" si="0"/>
        <v>390</v>
      </c>
      <c r="M5" s="29" t="s">
        <v>156</v>
      </c>
    </row>
    <row r="6" spans="1:15">
      <c r="A6" s="98"/>
      <c r="B6" s="99"/>
      <c r="C6" s="26">
        <f t="shared" si="1"/>
        <v>4</v>
      </c>
      <c r="D6" s="30" t="s">
        <v>157</v>
      </c>
      <c r="E6" s="99"/>
      <c r="F6" s="99"/>
      <c r="G6" s="99"/>
      <c r="H6" s="99"/>
      <c r="I6" s="24">
        <v>180</v>
      </c>
      <c r="J6" s="24">
        <v>180</v>
      </c>
      <c r="K6" s="24"/>
      <c r="L6" s="24">
        <f t="shared" si="0"/>
        <v>360</v>
      </c>
      <c r="M6" s="28"/>
    </row>
    <row r="7" spans="1:15" ht="28.9">
      <c r="A7" s="98"/>
      <c r="B7" s="99"/>
      <c r="C7" s="26">
        <f t="shared" si="1"/>
        <v>5</v>
      </c>
      <c r="D7" s="27" t="s">
        <v>158</v>
      </c>
      <c r="E7" s="99"/>
      <c r="F7" s="99"/>
      <c r="G7" s="99"/>
      <c r="H7" s="99"/>
      <c r="I7" s="24">
        <v>180</v>
      </c>
      <c r="J7" s="24">
        <v>180</v>
      </c>
      <c r="K7" s="24">
        <v>180</v>
      </c>
      <c r="L7" s="24">
        <f t="shared" si="0"/>
        <v>540</v>
      </c>
      <c r="M7" s="29" t="s">
        <v>156</v>
      </c>
    </row>
    <row r="8" spans="1:15">
      <c r="A8" s="98" t="s">
        <v>159</v>
      </c>
      <c r="B8" s="99" t="s">
        <v>160</v>
      </c>
      <c r="C8" s="26">
        <f t="shared" si="1"/>
        <v>6</v>
      </c>
      <c r="D8" s="27" t="s">
        <v>144</v>
      </c>
      <c r="E8" s="99" t="s">
        <v>161</v>
      </c>
      <c r="F8" s="99" t="s">
        <v>162</v>
      </c>
      <c r="G8" s="99">
        <v>10</v>
      </c>
      <c r="H8" s="99" t="s">
        <v>163</v>
      </c>
      <c r="I8" s="24">
        <v>120</v>
      </c>
      <c r="J8" s="24">
        <v>90</v>
      </c>
      <c r="K8" s="24"/>
      <c r="L8" s="24">
        <f t="shared" si="0"/>
        <v>210</v>
      </c>
      <c r="M8" s="28"/>
    </row>
    <row r="9" spans="1:15">
      <c r="A9" s="98"/>
      <c r="B9" s="99"/>
      <c r="C9" s="26">
        <f t="shared" si="1"/>
        <v>7</v>
      </c>
      <c r="D9" s="27" t="s">
        <v>157</v>
      </c>
      <c r="E9" s="99"/>
      <c r="F9" s="99"/>
      <c r="G9" s="99"/>
      <c r="H9" s="99"/>
      <c r="I9" s="24">
        <v>180</v>
      </c>
      <c r="J9" s="24">
        <v>150</v>
      </c>
      <c r="K9" s="24"/>
      <c r="L9" s="24">
        <f t="shared" si="0"/>
        <v>330</v>
      </c>
      <c r="M9" s="28"/>
    </row>
    <row r="10" spans="1:15" ht="27.6">
      <c r="A10" s="98"/>
      <c r="B10" s="99" t="s">
        <v>164</v>
      </c>
      <c r="C10" s="26">
        <f t="shared" si="1"/>
        <v>8</v>
      </c>
      <c r="D10" s="27" t="s">
        <v>155</v>
      </c>
      <c r="E10" s="99" t="s">
        <v>165</v>
      </c>
      <c r="F10" s="99" t="s">
        <v>166</v>
      </c>
      <c r="G10" s="99">
        <v>53</v>
      </c>
      <c r="H10" s="99" t="s">
        <v>167</v>
      </c>
      <c r="I10" s="24">
        <v>120</v>
      </c>
      <c r="J10" s="24">
        <v>90</v>
      </c>
      <c r="K10" s="24">
        <v>90</v>
      </c>
      <c r="L10" s="24">
        <f t="shared" si="0"/>
        <v>300</v>
      </c>
      <c r="M10" s="28"/>
      <c r="O10" t="s">
        <v>168</v>
      </c>
    </row>
    <row r="11" spans="1:15" ht="27.6">
      <c r="A11" s="98"/>
      <c r="B11" s="99"/>
      <c r="C11" s="26">
        <f t="shared" si="1"/>
        <v>9</v>
      </c>
      <c r="D11" s="27" t="s">
        <v>158</v>
      </c>
      <c r="E11" s="99"/>
      <c r="F11" s="99"/>
      <c r="G11" s="99"/>
      <c r="H11" s="99"/>
      <c r="I11" s="24">
        <v>180</v>
      </c>
      <c r="J11" s="24">
        <v>150</v>
      </c>
      <c r="K11" s="24">
        <v>90</v>
      </c>
      <c r="L11" s="24">
        <f t="shared" si="0"/>
        <v>420</v>
      </c>
      <c r="M11" s="28"/>
    </row>
    <row r="12" spans="1:15">
      <c r="A12" s="98" t="s">
        <v>169</v>
      </c>
      <c r="B12" s="98"/>
      <c r="C12" s="26">
        <v>10</v>
      </c>
      <c r="D12" s="27" t="s">
        <v>170</v>
      </c>
      <c r="E12" s="99" t="s">
        <v>169</v>
      </c>
      <c r="F12" s="99"/>
      <c r="G12" s="99"/>
      <c r="H12" s="99"/>
      <c r="I12" s="24">
        <v>15</v>
      </c>
      <c r="J12" s="24">
        <v>10</v>
      </c>
      <c r="K12" s="24"/>
      <c r="L12" s="24">
        <f t="shared" si="0"/>
        <v>25</v>
      </c>
      <c r="M12" s="28"/>
    </row>
    <row r="13" spans="1:15">
      <c r="A13" s="100" t="s">
        <v>171</v>
      </c>
      <c r="B13" s="100"/>
      <c r="C13" s="100"/>
      <c r="D13" s="31">
        <f>COUNTA(D3:D12)</f>
        <v>10</v>
      </c>
      <c r="E13" s="101" t="s">
        <v>172</v>
      </c>
      <c r="F13" s="101"/>
      <c r="G13" s="101">
        <f>SUM(G3:G11)</f>
        <v>86</v>
      </c>
      <c r="H13" s="101"/>
    </row>
  </sheetData>
  <mergeCells count="23">
    <mergeCell ref="H10:H11"/>
    <mergeCell ref="A12:B12"/>
    <mergeCell ref="E12:H12"/>
    <mergeCell ref="A13:C13"/>
    <mergeCell ref="E13:F13"/>
    <mergeCell ref="G13:H13"/>
    <mergeCell ref="A8:A11"/>
    <mergeCell ref="B8:B9"/>
    <mergeCell ref="E8:E9"/>
    <mergeCell ref="F8:F9"/>
    <mergeCell ref="G8:G9"/>
    <mergeCell ref="H8:H9"/>
    <mergeCell ref="B10:B11"/>
    <mergeCell ref="E10:E11"/>
    <mergeCell ref="F10:F11"/>
    <mergeCell ref="G10:G11"/>
    <mergeCell ref="A1:M1"/>
    <mergeCell ref="A3:A7"/>
    <mergeCell ref="B3:B7"/>
    <mergeCell ref="E4:E7"/>
    <mergeCell ref="F4:F7"/>
    <mergeCell ref="G4:G7"/>
    <mergeCell ref="H4:H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0E0FA-2E8E-429C-9D4D-43DDA821FC74}">
  <dimension ref="A1:N87"/>
  <sheetViews>
    <sheetView workbookViewId="0">
      <selection activeCell="I10" sqref="I10"/>
    </sheetView>
  </sheetViews>
  <sheetFormatPr defaultRowHeight="14.45"/>
  <cols>
    <col min="1" max="1" width="11" bestFit="1" customWidth="1"/>
    <col min="2" max="2" width="16.85546875" bestFit="1" customWidth="1"/>
    <col min="3" max="3" width="23.85546875" bestFit="1" customWidth="1"/>
    <col min="4" max="4" width="21.7109375" bestFit="1" customWidth="1"/>
  </cols>
  <sheetData>
    <row r="1" spans="1:14" ht="15">
      <c r="A1" s="77" t="s">
        <v>173</v>
      </c>
      <c r="B1" s="78" t="s">
        <v>174</v>
      </c>
      <c r="C1" s="78" t="s">
        <v>175</v>
      </c>
      <c r="D1" s="78" t="s">
        <v>176</v>
      </c>
      <c r="E1" s="79"/>
      <c r="F1" s="79"/>
      <c r="G1" s="79"/>
      <c r="H1" s="79"/>
      <c r="I1" s="79"/>
      <c r="J1" s="79"/>
      <c r="K1" s="79"/>
      <c r="L1" s="79"/>
      <c r="M1" s="79"/>
      <c r="N1" s="79"/>
    </row>
    <row r="2" spans="1:14" ht="15">
      <c r="A2" s="80">
        <v>3615</v>
      </c>
      <c r="B2" s="81">
        <v>36</v>
      </c>
      <c r="C2" s="81" t="s">
        <v>177</v>
      </c>
      <c r="D2" s="81">
        <v>210</v>
      </c>
      <c r="E2" s="79"/>
      <c r="F2" s="79"/>
      <c r="G2" s="79"/>
      <c r="H2" s="79"/>
      <c r="I2" s="79"/>
      <c r="J2" s="79"/>
      <c r="K2" s="79"/>
      <c r="L2" s="79"/>
      <c r="M2" s="79"/>
      <c r="N2" s="79"/>
    </row>
    <row r="3" spans="1:14" ht="15">
      <c r="A3" s="80">
        <v>3616</v>
      </c>
      <c r="B3" s="81">
        <v>36</v>
      </c>
      <c r="C3" s="81" t="s">
        <v>177</v>
      </c>
      <c r="D3" s="81">
        <v>210</v>
      </c>
      <c r="E3" s="79"/>
      <c r="F3" s="79"/>
      <c r="G3" s="79"/>
      <c r="H3" s="79"/>
      <c r="I3" s="79"/>
      <c r="J3" s="79"/>
      <c r="K3" s="79"/>
      <c r="L3" s="79"/>
      <c r="M3" s="79"/>
      <c r="N3" s="79"/>
    </row>
    <row r="4" spans="1:14" ht="15">
      <c r="A4" s="80">
        <v>4501</v>
      </c>
      <c r="B4" s="81">
        <v>45</v>
      </c>
      <c r="C4" s="81" t="s">
        <v>178</v>
      </c>
      <c r="D4" s="81">
        <v>430</v>
      </c>
      <c r="E4" s="79"/>
      <c r="F4" s="79"/>
      <c r="G4" s="79"/>
      <c r="H4" s="79"/>
      <c r="I4" s="79"/>
      <c r="J4" s="79"/>
      <c r="K4" s="79"/>
      <c r="L4" s="79"/>
      <c r="M4" s="79"/>
      <c r="N4" s="79"/>
    </row>
    <row r="5" spans="1:14" ht="15">
      <c r="A5" s="80">
        <v>4502</v>
      </c>
      <c r="B5" s="81">
        <v>45</v>
      </c>
      <c r="C5" s="81" t="s">
        <v>178</v>
      </c>
      <c r="D5" s="81">
        <v>430</v>
      </c>
      <c r="E5" s="79"/>
      <c r="F5" s="79"/>
      <c r="G5" s="79"/>
      <c r="H5" s="79"/>
      <c r="I5" s="79"/>
      <c r="J5" s="79"/>
      <c r="K5" s="79"/>
      <c r="L5" s="79"/>
      <c r="M5" s="79"/>
      <c r="N5" s="79"/>
    </row>
    <row r="6" spans="1:14" ht="15">
      <c r="A6" s="80">
        <v>4503</v>
      </c>
      <c r="B6" s="81">
        <v>45</v>
      </c>
      <c r="C6" s="81" t="s">
        <v>178</v>
      </c>
      <c r="D6" s="81">
        <v>430</v>
      </c>
      <c r="E6" s="79"/>
      <c r="F6" s="79"/>
      <c r="G6" s="79"/>
      <c r="H6" s="79"/>
      <c r="I6" s="79"/>
      <c r="J6" s="79"/>
      <c r="K6" s="79"/>
      <c r="L6" s="79"/>
      <c r="M6" s="79"/>
      <c r="N6" s="79"/>
    </row>
    <row r="7" spans="1:14" ht="15">
      <c r="A7" s="80">
        <v>4504</v>
      </c>
      <c r="B7" s="81">
        <v>45</v>
      </c>
      <c r="C7" s="81" t="s">
        <v>178</v>
      </c>
      <c r="D7" s="81">
        <v>430</v>
      </c>
      <c r="E7" s="79"/>
      <c r="F7" s="79"/>
      <c r="G7" s="79"/>
      <c r="H7" s="79"/>
      <c r="I7" s="79"/>
      <c r="J7" s="79"/>
      <c r="K7" s="79"/>
      <c r="L7" s="79"/>
      <c r="M7" s="79"/>
      <c r="N7" s="79"/>
    </row>
    <row r="8" spans="1:14" ht="15">
      <c r="A8" s="80">
        <v>4505</v>
      </c>
      <c r="B8" s="81">
        <v>45</v>
      </c>
      <c r="C8" s="81" t="s">
        <v>178</v>
      </c>
      <c r="D8" s="81">
        <v>430</v>
      </c>
      <c r="E8" s="79"/>
      <c r="F8" s="79"/>
      <c r="G8" s="79"/>
      <c r="H8" s="79"/>
      <c r="I8" s="79"/>
      <c r="J8" s="79"/>
      <c r="K8" s="79"/>
      <c r="L8" s="79"/>
      <c r="M8" s="79"/>
      <c r="N8" s="79"/>
    </row>
    <row r="9" spans="1:14" ht="15">
      <c r="A9" s="80">
        <v>4506</v>
      </c>
      <c r="B9" s="81">
        <v>45</v>
      </c>
      <c r="C9" s="81" t="s">
        <v>178</v>
      </c>
      <c r="D9" s="81">
        <v>430</v>
      </c>
      <c r="E9" s="79"/>
      <c r="F9" s="79"/>
      <c r="G9" s="79"/>
      <c r="H9" s="79"/>
      <c r="I9" s="79"/>
      <c r="J9" s="79"/>
      <c r="K9" s="79"/>
      <c r="L9" s="79"/>
      <c r="M9" s="79"/>
      <c r="N9" s="79"/>
    </row>
    <row r="10" spans="1:14" ht="15">
      <c r="A10" s="80">
        <v>4507</v>
      </c>
      <c r="B10" s="81">
        <v>45</v>
      </c>
      <c r="C10" s="81" t="s">
        <v>178</v>
      </c>
      <c r="D10" s="81">
        <v>430</v>
      </c>
      <c r="E10" s="79"/>
      <c r="F10" s="79"/>
      <c r="G10" s="79"/>
      <c r="H10" s="79"/>
      <c r="I10" s="79"/>
      <c r="J10" s="79"/>
      <c r="K10" s="79"/>
      <c r="L10" s="79"/>
      <c r="M10" s="79"/>
      <c r="N10" s="79"/>
    </row>
    <row r="11" spans="1:14" ht="15">
      <c r="A11" s="80">
        <v>4508</v>
      </c>
      <c r="B11" s="81">
        <v>45</v>
      </c>
      <c r="C11" s="81" t="s">
        <v>178</v>
      </c>
      <c r="D11" s="81">
        <v>430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</row>
    <row r="12" spans="1:14" ht="15">
      <c r="A12" s="80">
        <v>4509</v>
      </c>
      <c r="B12" s="81">
        <v>45</v>
      </c>
      <c r="C12" s="81" t="s">
        <v>178</v>
      </c>
      <c r="D12" s="81">
        <v>430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</row>
    <row r="13" spans="1:14" ht="15">
      <c r="A13" s="80">
        <v>4510</v>
      </c>
      <c r="B13" s="81">
        <v>45</v>
      </c>
      <c r="C13" s="81" t="s">
        <v>178</v>
      </c>
      <c r="D13" s="81">
        <v>430</v>
      </c>
      <c r="E13" s="79"/>
      <c r="F13" s="79"/>
      <c r="G13" s="79"/>
      <c r="H13" s="79"/>
      <c r="I13" s="79"/>
      <c r="J13" s="79"/>
      <c r="K13" s="79"/>
      <c r="L13" s="79"/>
      <c r="M13" s="79"/>
      <c r="N13" s="79"/>
    </row>
    <row r="14" spans="1:14" ht="15">
      <c r="A14" s="80">
        <v>4511</v>
      </c>
      <c r="B14" s="81">
        <v>45</v>
      </c>
      <c r="C14" s="81" t="s">
        <v>178</v>
      </c>
      <c r="D14" s="81">
        <v>430</v>
      </c>
      <c r="E14" s="79"/>
      <c r="F14" s="79"/>
      <c r="G14" s="79"/>
      <c r="H14" s="79"/>
      <c r="I14" s="79"/>
      <c r="J14" s="79"/>
      <c r="K14" s="79"/>
      <c r="L14" s="79"/>
      <c r="M14" s="79"/>
      <c r="N14" s="79"/>
    </row>
    <row r="15" spans="1:14" ht="15">
      <c r="A15" s="80">
        <v>4512</v>
      </c>
      <c r="B15" s="81">
        <v>45</v>
      </c>
      <c r="C15" s="81" t="s">
        <v>178</v>
      </c>
      <c r="D15" s="81">
        <v>430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</row>
    <row r="16" spans="1:14" ht="15">
      <c r="A16" s="80">
        <v>4513</v>
      </c>
      <c r="B16" s="81">
        <v>45</v>
      </c>
      <c r="C16" s="81" t="s">
        <v>178</v>
      </c>
      <c r="D16" s="81">
        <v>430</v>
      </c>
      <c r="E16" s="79"/>
      <c r="F16" s="79"/>
      <c r="G16" s="79"/>
      <c r="H16" s="79"/>
      <c r="I16" s="79"/>
      <c r="J16" s="79"/>
      <c r="K16" s="79"/>
      <c r="L16" s="79"/>
      <c r="M16" s="79"/>
      <c r="N16" s="79"/>
    </row>
    <row r="17" spans="1:14" ht="15">
      <c r="A17" s="80">
        <v>4514</v>
      </c>
      <c r="B17" s="81">
        <v>45</v>
      </c>
      <c r="C17" s="81" t="s">
        <v>178</v>
      </c>
      <c r="D17" s="81">
        <v>430</v>
      </c>
      <c r="E17" s="79"/>
      <c r="F17" s="79"/>
      <c r="G17" s="79"/>
      <c r="H17" s="79"/>
      <c r="I17" s="79"/>
      <c r="J17" s="79"/>
      <c r="K17" s="79"/>
      <c r="L17" s="79"/>
      <c r="M17" s="79"/>
      <c r="N17" s="79"/>
    </row>
    <row r="18" spans="1:14" ht="15">
      <c r="A18" s="80">
        <v>4515</v>
      </c>
      <c r="B18" s="81">
        <v>45</v>
      </c>
      <c r="C18" s="81" t="s">
        <v>178</v>
      </c>
      <c r="D18" s="81">
        <v>430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</row>
    <row r="19" spans="1:14" ht="15">
      <c r="A19" s="80">
        <v>4601</v>
      </c>
      <c r="B19" s="81">
        <v>46</v>
      </c>
      <c r="C19" s="81" t="s">
        <v>179</v>
      </c>
      <c r="D19" s="81">
        <v>270</v>
      </c>
      <c r="E19" s="79"/>
      <c r="F19" s="79"/>
      <c r="G19" s="79"/>
      <c r="H19" s="79"/>
      <c r="I19" s="79"/>
      <c r="J19" s="79"/>
      <c r="K19" s="79"/>
      <c r="L19" s="79"/>
      <c r="M19" s="79"/>
      <c r="N19" s="79"/>
    </row>
    <row r="20" spans="1:14" ht="15">
      <c r="A20" s="80">
        <v>4602</v>
      </c>
      <c r="B20" s="81">
        <v>46</v>
      </c>
      <c r="C20" s="81" t="s">
        <v>179</v>
      </c>
      <c r="D20" s="81">
        <v>270</v>
      </c>
      <c r="E20" s="79"/>
      <c r="F20" s="79"/>
      <c r="G20" s="79"/>
      <c r="H20" s="79"/>
      <c r="I20" s="79"/>
      <c r="J20" s="79"/>
      <c r="K20" s="79"/>
      <c r="L20" s="79"/>
      <c r="M20" s="79"/>
      <c r="N20" s="79"/>
    </row>
    <row r="21" spans="1:14" ht="15">
      <c r="A21" s="80">
        <v>4603</v>
      </c>
      <c r="B21" s="81">
        <v>46</v>
      </c>
      <c r="C21" s="81" t="s">
        <v>179</v>
      </c>
      <c r="D21" s="81">
        <v>270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</row>
    <row r="22" spans="1:14" ht="15">
      <c r="A22" s="80">
        <v>4604</v>
      </c>
      <c r="B22" s="81">
        <v>46</v>
      </c>
      <c r="C22" s="81" t="s">
        <v>179</v>
      </c>
      <c r="D22" s="81">
        <v>270</v>
      </c>
      <c r="E22" s="79"/>
      <c r="F22" s="79"/>
      <c r="G22" s="79"/>
      <c r="H22" s="79"/>
      <c r="I22" s="79"/>
      <c r="J22" s="79"/>
      <c r="K22" s="79"/>
      <c r="L22" s="79"/>
      <c r="M22" s="79"/>
      <c r="N22" s="79"/>
    </row>
    <row r="23" spans="1:14" ht="15">
      <c r="A23" s="80">
        <v>4605</v>
      </c>
      <c r="B23" s="81">
        <v>46</v>
      </c>
      <c r="C23" s="81" t="s">
        <v>179</v>
      </c>
      <c r="D23" s="81">
        <v>270</v>
      </c>
      <c r="E23" s="79"/>
      <c r="F23" s="79"/>
      <c r="G23" s="79"/>
      <c r="H23" s="79"/>
      <c r="I23" s="79"/>
      <c r="J23" s="79"/>
      <c r="K23" s="79"/>
      <c r="L23" s="79"/>
      <c r="M23" s="79"/>
      <c r="N23" s="79"/>
    </row>
    <row r="24" spans="1:14" ht="15">
      <c r="A24" s="80">
        <v>4606</v>
      </c>
      <c r="B24" s="81">
        <v>46</v>
      </c>
      <c r="C24" s="81" t="s">
        <v>179</v>
      </c>
      <c r="D24" s="81">
        <v>270</v>
      </c>
      <c r="E24" s="79"/>
      <c r="F24" s="79"/>
      <c r="G24" s="79"/>
      <c r="H24" s="79"/>
      <c r="I24" s="79"/>
      <c r="J24" s="79"/>
      <c r="K24" s="79"/>
      <c r="L24" s="79"/>
      <c r="M24" s="79"/>
      <c r="N24" s="79"/>
    </row>
    <row r="25" spans="1:14" ht="15">
      <c r="A25" s="80">
        <v>4607</v>
      </c>
      <c r="B25" s="81">
        <v>46</v>
      </c>
      <c r="C25" s="81" t="s">
        <v>179</v>
      </c>
      <c r="D25" s="81">
        <v>270</v>
      </c>
      <c r="E25" s="79"/>
      <c r="F25" s="79"/>
      <c r="G25" s="79"/>
      <c r="H25" s="79"/>
      <c r="I25" s="79"/>
      <c r="J25" s="79"/>
      <c r="K25" s="79"/>
      <c r="L25" s="79"/>
      <c r="M25" s="79"/>
      <c r="N25" s="79"/>
    </row>
    <row r="26" spans="1:14" ht="15">
      <c r="A26" s="80">
        <v>4608</v>
      </c>
      <c r="B26" s="81">
        <v>46</v>
      </c>
      <c r="C26" s="81" t="s">
        <v>179</v>
      </c>
      <c r="D26" s="81">
        <v>270</v>
      </c>
      <c r="E26" s="79"/>
      <c r="F26" s="79"/>
      <c r="G26" s="79"/>
      <c r="H26" s="79"/>
      <c r="I26" s="79"/>
      <c r="J26" s="79"/>
      <c r="K26" s="79"/>
      <c r="L26" s="79"/>
      <c r="M26" s="79"/>
      <c r="N26" s="79"/>
    </row>
    <row r="27" spans="1:14" ht="15">
      <c r="A27" s="80">
        <v>4609</v>
      </c>
      <c r="B27" s="81">
        <v>46</v>
      </c>
      <c r="C27" s="81" t="s">
        <v>179</v>
      </c>
      <c r="D27" s="81">
        <v>270</v>
      </c>
      <c r="E27" s="79"/>
      <c r="F27" s="79"/>
      <c r="G27" s="79"/>
      <c r="H27" s="79"/>
      <c r="I27" s="79"/>
      <c r="J27" s="79"/>
      <c r="K27" s="79"/>
      <c r="L27" s="79"/>
      <c r="M27" s="79"/>
      <c r="N27" s="79"/>
    </row>
    <row r="28" spans="1:14" ht="15">
      <c r="A28" s="80">
        <v>4610</v>
      </c>
      <c r="B28" s="81">
        <v>46</v>
      </c>
      <c r="C28" s="81" t="s">
        <v>179</v>
      </c>
      <c r="D28" s="81">
        <v>270</v>
      </c>
      <c r="E28" s="79"/>
      <c r="F28" s="79"/>
      <c r="G28" s="79"/>
      <c r="H28" s="79"/>
      <c r="I28" s="79"/>
      <c r="J28" s="79"/>
      <c r="K28" s="79"/>
      <c r="L28" s="79"/>
      <c r="M28" s="79"/>
      <c r="N28" s="79"/>
    </row>
    <row r="29" spans="1:14" ht="15">
      <c r="A29" s="80">
        <v>4801</v>
      </c>
      <c r="B29" s="81">
        <v>48</v>
      </c>
      <c r="C29" s="81" t="s">
        <v>180</v>
      </c>
      <c r="D29" s="81">
        <v>360</v>
      </c>
      <c r="E29" s="79"/>
      <c r="F29" s="79"/>
      <c r="G29" s="79"/>
      <c r="H29" s="79"/>
      <c r="I29" s="79"/>
      <c r="J29" s="79"/>
      <c r="K29" s="79"/>
      <c r="L29" s="79"/>
      <c r="M29" s="79"/>
      <c r="N29" s="79"/>
    </row>
    <row r="30" spans="1:14" ht="15">
      <c r="A30" s="80">
        <v>4802</v>
      </c>
      <c r="B30" s="81">
        <v>48</v>
      </c>
      <c r="C30" s="81" t="s">
        <v>180</v>
      </c>
      <c r="D30" s="81">
        <v>360</v>
      </c>
      <c r="E30" s="79"/>
      <c r="F30" s="79"/>
      <c r="G30" s="79"/>
      <c r="H30" s="79"/>
      <c r="I30" s="79"/>
      <c r="J30" s="79"/>
      <c r="K30" s="79"/>
      <c r="L30" s="79"/>
      <c r="M30" s="79"/>
      <c r="N30" s="79"/>
    </row>
    <row r="31" spans="1:14" ht="15">
      <c r="A31" s="80">
        <v>4803</v>
      </c>
      <c r="B31" s="81">
        <v>48</v>
      </c>
      <c r="C31" s="81" t="s">
        <v>180</v>
      </c>
      <c r="D31" s="81">
        <v>360</v>
      </c>
      <c r="E31" s="79"/>
      <c r="F31" s="79"/>
      <c r="G31" s="79"/>
      <c r="H31" s="79"/>
      <c r="I31" s="79"/>
      <c r="J31" s="79"/>
      <c r="K31" s="79"/>
      <c r="L31" s="79"/>
      <c r="M31" s="79"/>
      <c r="N31" s="79"/>
    </row>
    <row r="32" spans="1:14" ht="15">
      <c r="A32" s="80">
        <v>4804</v>
      </c>
      <c r="B32" s="81">
        <v>48</v>
      </c>
      <c r="C32" s="81" t="s">
        <v>180</v>
      </c>
      <c r="D32" s="81">
        <v>360</v>
      </c>
      <c r="E32" s="79"/>
      <c r="F32" s="79"/>
      <c r="G32" s="79"/>
      <c r="H32" s="79"/>
      <c r="I32" s="79"/>
      <c r="J32" s="79"/>
      <c r="K32" s="79"/>
      <c r="L32" s="79"/>
      <c r="M32" s="79"/>
      <c r="N32" s="79"/>
    </row>
    <row r="33" spans="1:14" ht="15">
      <c r="A33" s="80">
        <v>4805</v>
      </c>
      <c r="B33" s="81">
        <v>48</v>
      </c>
      <c r="C33" s="81" t="s">
        <v>180</v>
      </c>
      <c r="D33" s="81">
        <v>360</v>
      </c>
      <c r="E33" s="79"/>
      <c r="F33" s="79"/>
      <c r="G33" s="79"/>
      <c r="H33" s="79"/>
      <c r="I33" s="79"/>
      <c r="J33" s="79"/>
      <c r="K33" s="79"/>
      <c r="L33" s="79"/>
      <c r="M33" s="79"/>
      <c r="N33" s="79"/>
    </row>
    <row r="34" spans="1:14" ht="15">
      <c r="A34" s="80">
        <v>4806</v>
      </c>
      <c r="B34" s="81">
        <v>48</v>
      </c>
      <c r="C34" s="81" t="s">
        <v>180</v>
      </c>
      <c r="D34" s="81">
        <v>360</v>
      </c>
      <c r="E34" s="79"/>
      <c r="F34" s="79"/>
      <c r="G34" s="79"/>
      <c r="H34" s="79"/>
      <c r="I34" s="79"/>
      <c r="J34" s="79"/>
      <c r="K34" s="79"/>
      <c r="L34" s="79"/>
      <c r="M34" s="79"/>
      <c r="N34" s="79"/>
    </row>
    <row r="35" spans="1:14" ht="15">
      <c r="A35" s="80">
        <v>4807</v>
      </c>
      <c r="B35" s="81">
        <v>48</v>
      </c>
      <c r="C35" s="81" t="s">
        <v>180</v>
      </c>
      <c r="D35" s="81">
        <v>360</v>
      </c>
      <c r="E35" s="79"/>
      <c r="F35" s="79"/>
      <c r="G35" s="79"/>
      <c r="H35" s="79"/>
      <c r="I35" s="79"/>
      <c r="J35" s="79"/>
      <c r="K35" s="79"/>
      <c r="L35" s="79"/>
      <c r="M35" s="79"/>
      <c r="N35" s="79"/>
    </row>
    <row r="36" spans="1:14" ht="15">
      <c r="A36" s="80">
        <v>4808</v>
      </c>
      <c r="B36" s="81">
        <v>48</v>
      </c>
      <c r="C36" s="81" t="s">
        <v>180</v>
      </c>
      <c r="D36" s="81">
        <v>360</v>
      </c>
      <c r="E36" s="79"/>
      <c r="F36" s="79"/>
      <c r="G36" s="79"/>
      <c r="H36" s="79"/>
      <c r="I36" s="79"/>
      <c r="J36" s="79"/>
      <c r="K36" s="79"/>
      <c r="L36" s="79"/>
      <c r="M36" s="79"/>
      <c r="N36" s="79"/>
    </row>
    <row r="37" spans="1:14" ht="15">
      <c r="A37" s="80">
        <v>4809</v>
      </c>
      <c r="B37" s="81">
        <v>48</v>
      </c>
      <c r="C37" s="81" t="s">
        <v>180</v>
      </c>
      <c r="D37" s="81">
        <v>360</v>
      </c>
      <c r="E37" s="79"/>
      <c r="F37" s="79"/>
      <c r="G37" s="79"/>
      <c r="H37" s="79"/>
      <c r="I37" s="79"/>
      <c r="J37" s="79"/>
      <c r="K37" s="79"/>
      <c r="L37" s="79"/>
      <c r="M37" s="79"/>
      <c r="N37" s="79"/>
    </row>
    <row r="38" spans="1:14" ht="15">
      <c r="A38" s="80">
        <v>4810</v>
      </c>
      <c r="B38" s="81">
        <v>48</v>
      </c>
      <c r="C38" s="81" t="s">
        <v>180</v>
      </c>
      <c r="D38" s="81">
        <v>360</v>
      </c>
      <c r="E38" s="79"/>
      <c r="F38" s="79"/>
      <c r="G38" s="79"/>
      <c r="H38" s="79"/>
      <c r="I38" s="79"/>
      <c r="J38" s="79"/>
      <c r="K38" s="79"/>
      <c r="L38" s="79"/>
      <c r="M38" s="79"/>
      <c r="N38" s="79"/>
    </row>
    <row r="39" spans="1:14" ht="15">
      <c r="A39" s="80">
        <v>4811</v>
      </c>
      <c r="B39" s="81">
        <v>48</v>
      </c>
      <c r="C39" s="81" t="s">
        <v>180</v>
      </c>
      <c r="D39" s="81">
        <v>360</v>
      </c>
      <c r="E39" s="79"/>
      <c r="F39" s="79"/>
      <c r="G39" s="79"/>
      <c r="H39" s="79"/>
      <c r="I39" s="79"/>
      <c r="J39" s="79"/>
      <c r="K39" s="79"/>
      <c r="L39" s="79"/>
      <c r="M39" s="79"/>
      <c r="N39" s="79"/>
    </row>
    <row r="40" spans="1:14" ht="15">
      <c r="A40" s="80">
        <v>4812</v>
      </c>
      <c r="B40" s="81">
        <v>48</v>
      </c>
      <c r="C40" s="81" t="s">
        <v>180</v>
      </c>
      <c r="D40" s="81">
        <v>360</v>
      </c>
      <c r="E40" s="79"/>
      <c r="F40" s="79"/>
      <c r="G40" s="79"/>
      <c r="H40" s="79"/>
      <c r="I40" s="79"/>
      <c r="J40" s="79"/>
      <c r="K40" s="79"/>
      <c r="L40" s="79"/>
      <c r="M40" s="79"/>
      <c r="N40" s="79"/>
    </row>
    <row r="41" spans="1:14" ht="15">
      <c r="A41" s="80">
        <v>4813</v>
      </c>
      <c r="B41" s="81">
        <v>48</v>
      </c>
      <c r="C41" s="81" t="s">
        <v>180</v>
      </c>
      <c r="D41" s="81">
        <v>360</v>
      </c>
      <c r="E41" s="79"/>
      <c r="F41" s="79"/>
      <c r="G41" s="79"/>
      <c r="H41" s="79"/>
      <c r="I41" s="79"/>
      <c r="J41" s="79"/>
      <c r="K41" s="79"/>
      <c r="L41" s="79"/>
      <c r="M41" s="79"/>
      <c r="N41" s="79"/>
    </row>
    <row r="42" spans="1:14" ht="15">
      <c r="A42" s="80">
        <v>4814</v>
      </c>
      <c r="B42" s="81">
        <v>48</v>
      </c>
      <c r="C42" s="81" t="s">
        <v>180</v>
      </c>
      <c r="D42" s="81">
        <v>360</v>
      </c>
      <c r="E42" s="79"/>
      <c r="F42" s="79"/>
      <c r="G42" s="79"/>
      <c r="H42" s="79"/>
      <c r="I42" s="79"/>
      <c r="J42" s="79"/>
      <c r="K42" s="79"/>
      <c r="L42" s="79"/>
      <c r="M42" s="79"/>
      <c r="N42" s="79"/>
    </row>
    <row r="43" spans="1:14" ht="15">
      <c r="A43" s="80">
        <v>4815</v>
      </c>
      <c r="B43" s="81">
        <v>48</v>
      </c>
      <c r="C43" s="81" t="s">
        <v>180</v>
      </c>
      <c r="D43" s="81">
        <v>360</v>
      </c>
      <c r="E43" s="79"/>
      <c r="F43" s="79"/>
      <c r="G43" s="79"/>
      <c r="H43" s="79"/>
      <c r="I43" s="79"/>
      <c r="J43" s="79"/>
      <c r="K43" s="79"/>
      <c r="L43" s="79"/>
      <c r="M43" s="79"/>
      <c r="N43" s="79"/>
    </row>
    <row r="44" spans="1:14" ht="15">
      <c r="A44" s="80">
        <v>4816</v>
      </c>
      <c r="B44" s="81">
        <v>48</v>
      </c>
      <c r="C44" s="81" t="s">
        <v>180</v>
      </c>
      <c r="D44" s="81">
        <v>360</v>
      </c>
      <c r="E44" s="79"/>
      <c r="F44" s="79"/>
      <c r="G44" s="79"/>
      <c r="H44" s="79"/>
      <c r="I44" s="79"/>
      <c r="J44" s="79"/>
      <c r="K44" s="79"/>
      <c r="L44" s="79"/>
      <c r="M44" s="79"/>
      <c r="N44" s="79"/>
    </row>
    <row r="45" spans="1:14" ht="15">
      <c r="A45" s="80">
        <v>4817</v>
      </c>
      <c r="B45" s="81">
        <v>48</v>
      </c>
      <c r="C45" s="81" t="s">
        <v>180</v>
      </c>
      <c r="D45" s="81">
        <v>360</v>
      </c>
      <c r="E45" s="79"/>
      <c r="F45" s="79"/>
      <c r="G45" s="79"/>
      <c r="H45" s="79"/>
      <c r="I45" s="79"/>
      <c r="J45" s="79"/>
      <c r="K45" s="79"/>
      <c r="L45" s="79"/>
      <c r="M45" s="79"/>
      <c r="N45" s="79"/>
    </row>
    <row r="46" spans="1:14" ht="15">
      <c r="A46" s="80">
        <v>4818</v>
      </c>
      <c r="B46" s="81">
        <v>48</v>
      </c>
      <c r="C46" s="81" t="s">
        <v>180</v>
      </c>
      <c r="D46" s="81">
        <v>360</v>
      </c>
      <c r="E46" s="79"/>
      <c r="F46" s="79"/>
      <c r="G46" s="79"/>
      <c r="H46" s="79"/>
      <c r="I46" s="79"/>
      <c r="J46" s="79"/>
      <c r="K46" s="79"/>
      <c r="L46" s="79"/>
      <c r="M46" s="79"/>
      <c r="N46" s="79"/>
    </row>
    <row r="47" spans="1:14" ht="15">
      <c r="A47" s="80">
        <v>4819</v>
      </c>
      <c r="B47" s="81">
        <v>48</v>
      </c>
      <c r="C47" s="81" t="s">
        <v>180</v>
      </c>
      <c r="D47" s="81">
        <v>360</v>
      </c>
      <c r="E47" s="79"/>
      <c r="F47" s="79"/>
      <c r="G47" s="79"/>
      <c r="H47" s="79"/>
      <c r="I47" s="79"/>
      <c r="J47" s="79"/>
      <c r="K47" s="79"/>
      <c r="L47" s="79"/>
      <c r="M47" s="79"/>
      <c r="N47" s="79"/>
    </row>
    <row r="48" spans="1:14" ht="15">
      <c r="A48" s="80">
        <v>4820</v>
      </c>
      <c r="B48" s="81">
        <v>48</v>
      </c>
      <c r="C48" s="81" t="s">
        <v>180</v>
      </c>
      <c r="D48" s="81">
        <v>360</v>
      </c>
      <c r="E48" s="79"/>
      <c r="F48" s="79"/>
      <c r="G48" s="79"/>
      <c r="H48" s="79"/>
      <c r="I48" s="79"/>
      <c r="J48" s="79"/>
      <c r="K48" s="79"/>
      <c r="L48" s="79"/>
      <c r="M48" s="79"/>
      <c r="N48" s="79"/>
    </row>
    <row r="49" spans="1:14" ht="15">
      <c r="A49" s="80">
        <v>4821</v>
      </c>
      <c r="B49" s="81">
        <v>48</v>
      </c>
      <c r="C49" s="81" t="s">
        <v>180</v>
      </c>
      <c r="D49" s="81">
        <v>360</v>
      </c>
      <c r="E49" s="79"/>
      <c r="F49" s="79"/>
      <c r="G49" s="79"/>
      <c r="H49" s="79"/>
      <c r="I49" s="79"/>
      <c r="J49" s="79"/>
      <c r="K49" s="79"/>
      <c r="L49" s="79"/>
      <c r="M49" s="79"/>
      <c r="N49" s="79"/>
    </row>
    <row r="50" spans="1:14" ht="15">
      <c r="A50" s="80">
        <v>4822</v>
      </c>
      <c r="B50" s="81">
        <v>48</v>
      </c>
      <c r="C50" s="81" t="s">
        <v>180</v>
      </c>
      <c r="D50" s="81">
        <v>360</v>
      </c>
      <c r="E50" s="79"/>
      <c r="F50" s="79"/>
      <c r="G50" s="79"/>
      <c r="H50" s="79"/>
      <c r="I50" s="79"/>
      <c r="J50" s="79"/>
      <c r="K50" s="79"/>
      <c r="L50" s="79"/>
      <c r="M50" s="79"/>
      <c r="N50" s="79"/>
    </row>
    <row r="51" spans="1:14" ht="15">
      <c r="A51" s="80">
        <v>4823</v>
      </c>
      <c r="B51" s="81">
        <v>48</v>
      </c>
      <c r="C51" s="81" t="s">
        <v>180</v>
      </c>
      <c r="D51" s="81">
        <v>360</v>
      </c>
      <c r="E51" s="79"/>
      <c r="F51" s="79"/>
      <c r="G51" s="79"/>
      <c r="H51" s="79"/>
      <c r="I51" s="79"/>
      <c r="J51" s="79"/>
      <c r="K51" s="79"/>
      <c r="L51" s="79"/>
      <c r="M51" s="79"/>
      <c r="N51" s="79"/>
    </row>
    <row r="52" spans="1:14" ht="15">
      <c r="A52" s="80">
        <v>4824</v>
      </c>
      <c r="B52" s="81">
        <v>48</v>
      </c>
      <c r="C52" s="81" t="s">
        <v>180</v>
      </c>
      <c r="D52" s="81">
        <v>360</v>
      </c>
      <c r="E52" s="79"/>
      <c r="F52" s="79"/>
      <c r="G52" s="79"/>
      <c r="H52" s="79"/>
      <c r="I52" s="79"/>
      <c r="J52" s="79"/>
      <c r="K52" s="79"/>
      <c r="L52" s="79"/>
      <c r="M52" s="79"/>
      <c r="N52" s="79"/>
    </row>
    <row r="53" spans="1:14" ht="15">
      <c r="A53" s="80">
        <v>4825</v>
      </c>
      <c r="B53" s="81">
        <v>48</v>
      </c>
      <c r="C53" s="81" t="s">
        <v>180</v>
      </c>
      <c r="D53" s="81">
        <v>360</v>
      </c>
      <c r="E53" s="79"/>
      <c r="F53" s="79"/>
      <c r="G53" s="79"/>
      <c r="H53" s="79"/>
      <c r="I53" s="79"/>
      <c r="J53" s="79"/>
      <c r="K53" s="79"/>
      <c r="L53" s="79"/>
      <c r="M53" s="79"/>
      <c r="N53" s="79"/>
    </row>
    <row r="54" spans="1:14" ht="15">
      <c r="A54" s="80">
        <v>4826</v>
      </c>
      <c r="B54" s="81">
        <v>48</v>
      </c>
      <c r="C54" s="81" t="s">
        <v>180</v>
      </c>
      <c r="D54" s="81">
        <v>360</v>
      </c>
      <c r="E54" s="79"/>
      <c r="F54" s="79"/>
      <c r="G54" s="79"/>
      <c r="H54" s="79"/>
      <c r="I54" s="79"/>
      <c r="J54" s="79"/>
      <c r="K54" s="79"/>
      <c r="L54" s="79"/>
      <c r="M54" s="79"/>
      <c r="N54" s="79"/>
    </row>
    <row r="55" spans="1:14" ht="15">
      <c r="A55" s="80">
        <v>4827</v>
      </c>
      <c r="B55" s="81">
        <v>48</v>
      </c>
      <c r="C55" s="81" t="s">
        <v>180</v>
      </c>
      <c r="D55" s="81">
        <v>360</v>
      </c>
      <c r="E55" s="79"/>
      <c r="F55" s="79"/>
      <c r="G55" s="79"/>
      <c r="H55" s="79"/>
      <c r="I55" s="79"/>
      <c r="J55" s="79"/>
      <c r="K55" s="79"/>
      <c r="L55" s="79"/>
      <c r="M55" s="79"/>
      <c r="N55" s="79"/>
    </row>
    <row r="56" spans="1:14" ht="15">
      <c r="A56" s="80">
        <v>4828</v>
      </c>
      <c r="B56" s="81">
        <v>48</v>
      </c>
      <c r="C56" s="81" t="s">
        <v>180</v>
      </c>
      <c r="D56" s="81">
        <v>360</v>
      </c>
      <c r="E56" s="79"/>
      <c r="F56" s="79"/>
      <c r="G56" s="79"/>
      <c r="H56" s="79"/>
      <c r="I56" s="79"/>
      <c r="J56" s="79"/>
      <c r="K56" s="79"/>
      <c r="L56" s="79"/>
      <c r="M56" s="79"/>
      <c r="N56" s="79"/>
    </row>
    <row r="57" spans="1:14" ht="15">
      <c r="A57" s="80">
        <v>4829</v>
      </c>
      <c r="B57" s="81">
        <v>48</v>
      </c>
      <c r="C57" s="81" t="s">
        <v>180</v>
      </c>
      <c r="D57" s="81">
        <v>360</v>
      </c>
      <c r="E57" s="79"/>
      <c r="F57" s="79"/>
      <c r="G57" s="79"/>
      <c r="H57" s="79"/>
      <c r="I57" s="79"/>
      <c r="J57" s="79"/>
      <c r="K57" s="79"/>
      <c r="L57" s="79"/>
      <c r="M57" s="79"/>
      <c r="N57" s="79"/>
    </row>
    <row r="58" spans="1:14" ht="15">
      <c r="A58" s="80">
        <v>4830</v>
      </c>
      <c r="B58" s="81">
        <v>48</v>
      </c>
      <c r="C58" s="81" t="s">
        <v>180</v>
      </c>
      <c r="D58" s="81">
        <v>360</v>
      </c>
      <c r="E58" s="79"/>
      <c r="F58" s="79"/>
      <c r="G58" s="79"/>
      <c r="H58" s="79"/>
      <c r="I58" s="79"/>
      <c r="J58" s="79"/>
      <c r="K58" s="79"/>
      <c r="L58" s="79"/>
      <c r="M58" s="79"/>
      <c r="N58" s="79"/>
    </row>
    <row r="59" spans="1:14" ht="15">
      <c r="A59" s="80">
        <v>4831</v>
      </c>
      <c r="B59" s="81">
        <v>48</v>
      </c>
      <c r="C59" s="81" t="s">
        <v>180</v>
      </c>
      <c r="D59" s="81">
        <v>360</v>
      </c>
      <c r="E59" s="79"/>
      <c r="F59" s="79"/>
      <c r="G59" s="79"/>
      <c r="H59" s="79"/>
      <c r="I59" s="79"/>
      <c r="J59" s="79"/>
      <c r="K59" s="79"/>
      <c r="L59" s="79"/>
      <c r="M59" s="79"/>
      <c r="N59" s="79"/>
    </row>
    <row r="60" spans="1:14" ht="15">
      <c r="A60" s="80">
        <v>4832</v>
      </c>
      <c r="B60" s="81">
        <v>48</v>
      </c>
      <c r="C60" s="81" t="s">
        <v>180</v>
      </c>
      <c r="D60" s="81">
        <v>360</v>
      </c>
      <c r="E60" s="79"/>
      <c r="F60" s="79"/>
      <c r="G60" s="79"/>
      <c r="H60" s="79"/>
      <c r="I60" s="79"/>
      <c r="J60" s="79"/>
      <c r="K60" s="79"/>
      <c r="L60" s="79"/>
      <c r="M60" s="79"/>
      <c r="N60" s="79"/>
    </row>
    <row r="61" spans="1:14" ht="15">
      <c r="A61" s="80">
        <v>4833</v>
      </c>
      <c r="B61" s="81">
        <v>48</v>
      </c>
      <c r="C61" s="81" t="s">
        <v>180</v>
      </c>
      <c r="D61" s="81">
        <v>360</v>
      </c>
      <c r="E61" s="79"/>
      <c r="F61" s="79"/>
      <c r="G61" s="79"/>
      <c r="H61" s="79"/>
      <c r="I61" s="79"/>
      <c r="J61" s="79"/>
      <c r="K61" s="79"/>
      <c r="L61" s="79"/>
      <c r="M61" s="79"/>
      <c r="N61" s="79"/>
    </row>
    <row r="62" spans="1:14" ht="15">
      <c r="A62" s="80">
        <v>4834</v>
      </c>
      <c r="B62" s="81">
        <v>48</v>
      </c>
      <c r="C62" s="81" t="s">
        <v>180</v>
      </c>
      <c r="D62" s="81">
        <v>360</v>
      </c>
      <c r="E62" s="79"/>
      <c r="F62" s="79"/>
      <c r="G62" s="79"/>
      <c r="H62" s="79"/>
      <c r="I62" s="79"/>
      <c r="J62" s="79"/>
      <c r="K62" s="79"/>
      <c r="L62" s="79"/>
      <c r="M62" s="79"/>
      <c r="N62" s="79"/>
    </row>
    <row r="63" spans="1:14" ht="15">
      <c r="A63" s="80">
        <v>4835</v>
      </c>
      <c r="B63" s="81">
        <v>48</v>
      </c>
      <c r="C63" s="81" t="s">
        <v>180</v>
      </c>
      <c r="D63" s="81">
        <v>360</v>
      </c>
      <c r="E63" s="79"/>
      <c r="F63" s="79"/>
      <c r="G63" s="79"/>
      <c r="H63" s="79"/>
      <c r="I63" s="79"/>
      <c r="J63" s="79"/>
      <c r="K63" s="79"/>
      <c r="L63" s="79"/>
      <c r="M63" s="79"/>
      <c r="N63" s="79"/>
    </row>
    <row r="64" spans="1:14" ht="15">
      <c r="A64" s="80">
        <v>4836</v>
      </c>
      <c r="B64" s="81">
        <v>48</v>
      </c>
      <c r="C64" s="81" t="s">
        <v>180</v>
      </c>
      <c r="D64" s="81">
        <v>360</v>
      </c>
      <c r="E64" s="79"/>
      <c r="F64" s="79"/>
      <c r="G64" s="79"/>
      <c r="H64" s="79"/>
      <c r="I64" s="79"/>
      <c r="J64" s="79"/>
      <c r="K64" s="79"/>
      <c r="L64" s="79"/>
      <c r="M64" s="79"/>
      <c r="N64" s="79"/>
    </row>
    <row r="65" spans="1:14" ht="15">
      <c r="A65" s="80">
        <v>4837</v>
      </c>
      <c r="B65" s="81">
        <v>48</v>
      </c>
      <c r="C65" s="81" t="s">
        <v>180</v>
      </c>
      <c r="D65" s="81">
        <v>360</v>
      </c>
      <c r="E65" s="79"/>
      <c r="F65" s="79"/>
      <c r="G65" s="79"/>
      <c r="H65" s="79"/>
      <c r="I65" s="79"/>
      <c r="J65" s="79"/>
      <c r="K65" s="79"/>
      <c r="L65" s="79"/>
      <c r="M65" s="79"/>
      <c r="N65" s="79"/>
    </row>
    <row r="66" spans="1:14" ht="15">
      <c r="A66" s="80">
        <v>4838</v>
      </c>
      <c r="B66" s="81">
        <v>48</v>
      </c>
      <c r="C66" s="81" t="s">
        <v>180</v>
      </c>
      <c r="D66" s="81">
        <v>360</v>
      </c>
      <c r="E66" s="79"/>
      <c r="F66" s="79"/>
      <c r="G66" s="79"/>
      <c r="H66" s="79"/>
      <c r="I66" s="79"/>
      <c r="J66" s="79"/>
      <c r="K66" s="79"/>
      <c r="L66" s="79"/>
      <c r="M66" s="79"/>
      <c r="N66" s="79"/>
    </row>
    <row r="67" spans="1:14" ht="15">
      <c r="A67" s="80">
        <v>4839</v>
      </c>
      <c r="B67" s="81">
        <v>48</v>
      </c>
      <c r="C67" s="81" t="s">
        <v>180</v>
      </c>
      <c r="D67" s="81">
        <v>360</v>
      </c>
      <c r="E67" s="79"/>
      <c r="F67" s="79"/>
      <c r="G67" s="79"/>
      <c r="H67" s="79"/>
      <c r="I67" s="79"/>
      <c r="J67" s="79"/>
      <c r="K67" s="79"/>
      <c r="L67" s="79"/>
      <c r="M67" s="79"/>
      <c r="N67" s="79"/>
    </row>
    <row r="68" spans="1:14" ht="15">
      <c r="A68" s="80">
        <v>4840</v>
      </c>
      <c r="B68" s="81">
        <v>48</v>
      </c>
      <c r="C68" s="81" t="s">
        <v>180</v>
      </c>
      <c r="D68" s="81">
        <v>360</v>
      </c>
      <c r="E68" s="79"/>
      <c r="F68" s="79"/>
      <c r="G68" s="79"/>
      <c r="H68" s="79"/>
      <c r="I68" s="79"/>
      <c r="J68" s="79"/>
      <c r="K68" s="79"/>
      <c r="L68" s="79"/>
      <c r="M68" s="79"/>
      <c r="N68" s="79"/>
    </row>
    <row r="69" spans="1:14" ht="15">
      <c r="A69" s="80">
        <v>4841</v>
      </c>
      <c r="B69" s="81">
        <v>48</v>
      </c>
      <c r="C69" s="81" t="s">
        <v>180</v>
      </c>
      <c r="D69" s="81">
        <v>360</v>
      </c>
      <c r="E69" s="79"/>
      <c r="F69" s="79"/>
      <c r="G69" s="79"/>
      <c r="H69" s="79"/>
      <c r="I69" s="79"/>
      <c r="J69" s="79"/>
      <c r="K69" s="79"/>
      <c r="L69" s="79"/>
      <c r="M69" s="79"/>
      <c r="N69" s="79"/>
    </row>
    <row r="70" spans="1:14" ht="15">
      <c r="A70" s="80">
        <v>4842</v>
      </c>
      <c r="B70" s="81">
        <v>48</v>
      </c>
      <c r="C70" s="81" t="s">
        <v>180</v>
      </c>
      <c r="D70" s="81">
        <v>360</v>
      </c>
      <c r="E70" s="79"/>
      <c r="F70" s="79"/>
      <c r="G70" s="79"/>
      <c r="H70" s="79"/>
      <c r="I70" s="79"/>
      <c r="J70" s="79"/>
      <c r="K70" s="79"/>
      <c r="L70" s="79"/>
      <c r="M70" s="79"/>
      <c r="N70" s="79"/>
    </row>
    <row r="71" spans="1:14" ht="15">
      <c r="A71" s="80">
        <v>4843</v>
      </c>
      <c r="B71" s="81">
        <v>48</v>
      </c>
      <c r="C71" s="81" t="s">
        <v>180</v>
      </c>
      <c r="D71" s="81">
        <v>360</v>
      </c>
      <c r="E71" s="79"/>
      <c r="F71" s="79"/>
      <c r="G71" s="79"/>
      <c r="H71" s="79"/>
      <c r="I71" s="79"/>
      <c r="J71" s="79"/>
      <c r="K71" s="79"/>
      <c r="L71" s="79"/>
      <c r="M71" s="79"/>
      <c r="N71" s="79"/>
    </row>
    <row r="72" spans="1:14" ht="15">
      <c r="A72" s="80">
        <v>4844</v>
      </c>
      <c r="B72" s="81">
        <v>48</v>
      </c>
      <c r="C72" s="81" t="s">
        <v>180</v>
      </c>
      <c r="D72" s="81">
        <v>360</v>
      </c>
      <c r="E72" s="79"/>
      <c r="F72" s="79"/>
      <c r="G72" s="79"/>
      <c r="H72" s="79"/>
      <c r="I72" s="79"/>
      <c r="J72" s="79"/>
      <c r="K72" s="79"/>
      <c r="L72" s="79"/>
      <c r="M72" s="79"/>
      <c r="N72" s="79"/>
    </row>
    <row r="73" spans="1:14" ht="15">
      <c r="A73" s="80">
        <v>4845</v>
      </c>
      <c r="B73" s="81">
        <v>48</v>
      </c>
      <c r="C73" s="81" t="s">
        <v>180</v>
      </c>
      <c r="D73" s="81">
        <v>360</v>
      </c>
      <c r="E73" s="79"/>
      <c r="F73" s="79"/>
      <c r="G73" s="79"/>
      <c r="H73" s="79"/>
      <c r="I73" s="79"/>
      <c r="J73" s="79"/>
      <c r="K73" s="79"/>
      <c r="L73" s="79"/>
      <c r="M73" s="79"/>
      <c r="N73" s="79"/>
    </row>
    <row r="74" spans="1:14" ht="15">
      <c r="A74" s="80">
        <v>4846</v>
      </c>
      <c r="B74" s="81">
        <v>48</v>
      </c>
      <c r="C74" s="81" t="s">
        <v>180</v>
      </c>
      <c r="D74" s="81">
        <v>360</v>
      </c>
      <c r="E74" s="79"/>
      <c r="F74" s="79"/>
      <c r="G74" s="79"/>
      <c r="H74" s="79"/>
      <c r="I74" s="79"/>
      <c r="J74" s="79"/>
      <c r="K74" s="79"/>
      <c r="L74" s="79"/>
      <c r="M74" s="79"/>
      <c r="N74" s="79"/>
    </row>
    <row r="75" spans="1:14" ht="15">
      <c r="A75" s="80">
        <v>4847</v>
      </c>
      <c r="B75" s="81">
        <v>48</v>
      </c>
      <c r="C75" s="81" t="s">
        <v>180</v>
      </c>
      <c r="D75" s="81">
        <v>360</v>
      </c>
      <c r="E75" s="79"/>
      <c r="F75" s="79"/>
      <c r="G75" s="79"/>
      <c r="H75" s="79"/>
      <c r="I75" s="79"/>
      <c r="J75" s="79"/>
      <c r="K75" s="79"/>
      <c r="L75" s="79"/>
      <c r="M75" s="79"/>
      <c r="N75" s="79"/>
    </row>
    <row r="76" spans="1:14" ht="15">
      <c r="A76" s="80">
        <v>4848</v>
      </c>
      <c r="B76" s="81">
        <v>48</v>
      </c>
      <c r="C76" s="81" t="s">
        <v>180</v>
      </c>
      <c r="D76" s="81">
        <v>360</v>
      </c>
      <c r="E76" s="79"/>
      <c r="F76" s="79"/>
      <c r="G76" s="79"/>
      <c r="H76" s="79"/>
      <c r="I76" s="79"/>
      <c r="J76" s="79"/>
      <c r="K76" s="79"/>
      <c r="L76" s="79"/>
      <c r="M76" s="79"/>
      <c r="N76" s="79"/>
    </row>
    <row r="77" spans="1:14" ht="15">
      <c r="A77" s="80">
        <v>4849</v>
      </c>
      <c r="B77" s="81">
        <v>48</v>
      </c>
      <c r="C77" s="81" t="s">
        <v>180</v>
      </c>
      <c r="D77" s="81">
        <v>360</v>
      </c>
      <c r="E77" s="79"/>
      <c r="F77" s="79"/>
      <c r="G77" s="79"/>
      <c r="H77" s="79"/>
      <c r="I77" s="79"/>
      <c r="J77" s="79"/>
      <c r="K77" s="79"/>
      <c r="L77" s="79"/>
      <c r="M77" s="79"/>
      <c r="N77" s="79"/>
    </row>
    <row r="78" spans="1:14" ht="15">
      <c r="A78" s="80">
        <v>4850</v>
      </c>
      <c r="B78" s="81">
        <v>48</v>
      </c>
      <c r="C78" s="81" t="s">
        <v>180</v>
      </c>
      <c r="D78" s="81">
        <v>360</v>
      </c>
      <c r="E78" s="79"/>
      <c r="F78" s="79"/>
      <c r="G78" s="79"/>
      <c r="H78" s="79"/>
      <c r="I78" s="79"/>
      <c r="J78" s="79"/>
      <c r="K78" s="79"/>
      <c r="L78" s="79"/>
      <c r="M78" s="79"/>
      <c r="N78" s="79"/>
    </row>
    <row r="79" spans="1:14" ht="15">
      <c r="A79" s="80">
        <v>4851</v>
      </c>
      <c r="B79" s="81">
        <v>48</v>
      </c>
      <c r="C79" s="81" t="s">
        <v>180</v>
      </c>
      <c r="D79" s="81">
        <v>360</v>
      </c>
      <c r="E79" s="79"/>
      <c r="F79" s="79"/>
      <c r="G79" s="79"/>
      <c r="H79" s="79"/>
      <c r="I79" s="79"/>
      <c r="J79" s="79"/>
      <c r="K79" s="79"/>
      <c r="L79" s="79"/>
      <c r="M79" s="79"/>
      <c r="N79" s="79"/>
    </row>
    <row r="80" spans="1:14" ht="15">
      <c r="A80" s="80">
        <v>4852</v>
      </c>
      <c r="B80" s="81">
        <v>48</v>
      </c>
      <c r="C80" s="81" t="s">
        <v>180</v>
      </c>
      <c r="D80" s="81">
        <v>360</v>
      </c>
      <c r="E80" s="79"/>
      <c r="F80" s="79"/>
      <c r="G80" s="79"/>
      <c r="H80" s="79"/>
      <c r="I80" s="79"/>
      <c r="J80" s="79"/>
      <c r="K80" s="79"/>
      <c r="L80" s="79"/>
      <c r="M80" s="79"/>
      <c r="N80" s="79"/>
    </row>
    <row r="81" spans="1:14" ht="15">
      <c r="A81" s="80">
        <v>4853</v>
      </c>
      <c r="B81" s="81">
        <v>48</v>
      </c>
      <c r="C81" s="81" t="s">
        <v>180</v>
      </c>
      <c r="D81" s="81">
        <v>360</v>
      </c>
      <c r="E81" s="79"/>
      <c r="F81" s="79"/>
      <c r="G81" s="79"/>
      <c r="H81" s="79"/>
      <c r="I81" s="79"/>
      <c r="J81" s="79"/>
      <c r="K81" s="79"/>
      <c r="L81" s="79"/>
      <c r="M81" s="79"/>
      <c r="N81" s="79"/>
    </row>
    <row r="82" spans="1:14" ht="15">
      <c r="A82" s="80">
        <v>5201</v>
      </c>
      <c r="B82" s="81">
        <v>52</v>
      </c>
      <c r="C82" s="81" t="s">
        <v>181</v>
      </c>
      <c r="D82" s="81">
        <v>420</v>
      </c>
      <c r="E82" s="79"/>
      <c r="F82" s="79"/>
      <c r="G82" s="79"/>
      <c r="H82" s="79"/>
      <c r="I82" s="79"/>
      <c r="J82" s="79"/>
      <c r="K82" s="79"/>
      <c r="L82" s="79"/>
      <c r="M82" s="79"/>
      <c r="N82" s="79"/>
    </row>
    <row r="83" spans="1:14" ht="15">
      <c r="A83" s="80">
        <v>5202</v>
      </c>
      <c r="B83" s="81">
        <v>52</v>
      </c>
      <c r="C83" s="81" t="s">
        <v>181</v>
      </c>
      <c r="D83" s="81">
        <v>420</v>
      </c>
      <c r="E83" s="79"/>
      <c r="F83" s="79"/>
      <c r="G83" s="79"/>
      <c r="H83" s="79"/>
      <c r="I83" s="79"/>
      <c r="J83" s="79"/>
      <c r="K83" s="79"/>
      <c r="L83" s="79"/>
      <c r="M83" s="79"/>
      <c r="N83" s="79"/>
    </row>
    <row r="84" spans="1:14" ht="15">
      <c r="A84" s="80">
        <v>5203</v>
      </c>
      <c r="B84" s="81">
        <v>52</v>
      </c>
      <c r="C84" s="81" t="s">
        <v>181</v>
      </c>
      <c r="D84" s="81">
        <v>420</v>
      </c>
      <c r="E84" s="79"/>
      <c r="F84" s="79"/>
      <c r="G84" s="79"/>
      <c r="H84" s="79"/>
      <c r="I84" s="79"/>
      <c r="J84" s="79"/>
      <c r="K84" s="79"/>
      <c r="L84" s="79"/>
      <c r="M84" s="79"/>
      <c r="N84" s="79"/>
    </row>
    <row r="85" spans="1:14" ht="15">
      <c r="A85" s="80">
        <v>5204</v>
      </c>
      <c r="B85" s="81">
        <v>52</v>
      </c>
      <c r="C85" s="81" t="s">
        <v>181</v>
      </c>
      <c r="D85" s="81">
        <v>420</v>
      </c>
      <c r="E85" s="79"/>
      <c r="F85" s="79"/>
      <c r="G85" s="79"/>
      <c r="H85" s="79"/>
      <c r="I85" s="79"/>
      <c r="J85" s="79"/>
      <c r="K85" s="79"/>
      <c r="L85" s="79"/>
      <c r="M85" s="79"/>
      <c r="N85" s="79"/>
    </row>
    <row r="86" spans="1:14" ht="15">
      <c r="A86" s="80">
        <v>5205</v>
      </c>
      <c r="B86" s="81">
        <v>52</v>
      </c>
      <c r="C86" s="81" t="s">
        <v>181</v>
      </c>
      <c r="D86" s="81">
        <v>420</v>
      </c>
      <c r="E86" s="79"/>
      <c r="F86" s="79"/>
      <c r="G86" s="79"/>
      <c r="H86" s="79"/>
      <c r="I86" s="79"/>
      <c r="J86" s="79"/>
      <c r="K86" s="79"/>
      <c r="L86" s="79"/>
      <c r="M86" s="79"/>
      <c r="N86" s="79"/>
    </row>
    <row r="87" spans="1:14" ht="15">
      <c r="A87" s="80">
        <v>5206</v>
      </c>
      <c r="B87" s="81">
        <v>52</v>
      </c>
      <c r="C87" s="81" t="s">
        <v>181</v>
      </c>
      <c r="D87" s="81">
        <v>420</v>
      </c>
      <c r="E87" s="79"/>
      <c r="F87" s="79"/>
      <c r="G87" s="79"/>
      <c r="H87" s="79"/>
      <c r="I87" s="79"/>
      <c r="J87" s="79"/>
      <c r="K87" s="79"/>
      <c r="L87" s="79"/>
      <c r="M87" s="79"/>
      <c r="N87" s="7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CB579-A25C-4E3A-9314-ECFB97885226}">
  <dimension ref="A1:E6"/>
  <sheetViews>
    <sheetView workbookViewId="0">
      <selection activeCell="A10" sqref="A10"/>
    </sheetView>
  </sheetViews>
  <sheetFormatPr defaultRowHeight="14.45"/>
  <cols>
    <col min="1" max="1" width="34.42578125" bestFit="1" customWidth="1"/>
    <col min="2" max="2" width="31.7109375" customWidth="1"/>
    <col min="3" max="3" width="16.7109375" customWidth="1"/>
  </cols>
  <sheetData>
    <row r="1" spans="1:5">
      <c r="A1" s="35" t="s">
        <v>94</v>
      </c>
    </row>
    <row r="3" spans="1:5">
      <c r="A3" s="102" t="s">
        <v>182</v>
      </c>
      <c r="B3" s="102"/>
      <c r="C3" s="102"/>
      <c r="D3" s="102"/>
      <c r="E3" s="102"/>
    </row>
    <row r="4" spans="1:5" ht="43.15">
      <c r="A4" s="32" t="s">
        <v>132</v>
      </c>
      <c r="B4" s="33" t="s">
        <v>183</v>
      </c>
      <c r="C4" s="33" t="s">
        <v>184</v>
      </c>
      <c r="D4" s="32" t="s">
        <v>185</v>
      </c>
      <c r="E4" s="33" t="s">
        <v>140</v>
      </c>
    </row>
    <row r="5" spans="1:5">
      <c r="A5" s="32" t="s">
        <v>186</v>
      </c>
      <c r="B5" s="34">
        <v>133.66666666666663</v>
      </c>
      <c r="C5" s="34">
        <v>47</v>
      </c>
      <c r="D5" s="32">
        <v>180</v>
      </c>
      <c r="E5" s="34">
        <f>B5+C5+D5</f>
        <v>360.66666666666663</v>
      </c>
    </row>
    <row r="6" spans="1:5">
      <c r="A6" s="32" t="s">
        <v>187</v>
      </c>
      <c r="B6" s="34">
        <v>20</v>
      </c>
      <c r="C6" s="32"/>
      <c r="D6" s="32">
        <v>10</v>
      </c>
      <c r="E6" s="34">
        <f>B6+C6+D6</f>
        <v>30</v>
      </c>
    </row>
  </sheetData>
  <mergeCells count="1">
    <mergeCell ref="A3:E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0E293-B1DE-445C-8DB0-CEE66E317DA9}">
  <dimension ref="A1:B81"/>
  <sheetViews>
    <sheetView tabSelected="1" workbookViewId="0">
      <selection sqref="A1:XFD1048576"/>
    </sheetView>
  </sheetViews>
  <sheetFormatPr defaultRowHeight="15"/>
  <cols>
    <col min="1" max="1" width="11.5703125" bestFit="1" customWidth="1"/>
    <col min="2" max="2" width="24.42578125" bestFit="1" customWidth="1"/>
  </cols>
  <sheetData>
    <row r="1" spans="1:2">
      <c r="A1" s="77" t="s">
        <v>188</v>
      </c>
      <c r="B1" s="78" t="s">
        <v>189</v>
      </c>
    </row>
    <row r="2" spans="1:2">
      <c r="A2" s="80">
        <v>5401</v>
      </c>
      <c r="B2" s="81">
        <v>361</v>
      </c>
    </row>
    <row r="3" spans="1:2">
      <c r="A3" s="80">
        <v>5402</v>
      </c>
      <c r="B3" s="81">
        <v>361</v>
      </c>
    </row>
    <row r="4" spans="1:2">
      <c r="A4" s="80">
        <v>5403</v>
      </c>
      <c r="B4" s="81">
        <v>361</v>
      </c>
    </row>
    <row r="5" spans="1:2">
      <c r="A5" s="80">
        <v>5404</v>
      </c>
      <c r="B5" s="81">
        <v>361</v>
      </c>
    </row>
    <row r="6" spans="1:2">
      <c r="A6" s="80">
        <v>5405</v>
      </c>
      <c r="B6" s="81">
        <v>361</v>
      </c>
    </row>
    <row r="7" spans="1:2">
      <c r="A7" s="80">
        <v>5406</v>
      </c>
      <c r="B7" s="81">
        <v>361</v>
      </c>
    </row>
    <row r="8" spans="1:2">
      <c r="A8" s="80">
        <v>5407</v>
      </c>
      <c r="B8" s="81">
        <v>361</v>
      </c>
    </row>
    <row r="9" spans="1:2">
      <c r="A9" s="80">
        <v>5408</v>
      </c>
      <c r="B9" s="81">
        <v>361</v>
      </c>
    </row>
    <row r="10" spans="1:2">
      <c r="A10" s="80">
        <v>5409</v>
      </c>
      <c r="B10" s="81">
        <v>361</v>
      </c>
    </row>
    <row r="11" spans="1:2">
      <c r="A11" s="80">
        <v>5410</v>
      </c>
      <c r="B11" s="81">
        <v>361</v>
      </c>
    </row>
    <row r="12" spans="1:2">
      <c r="A12" s="80">
        <v>5411</v>
      </c>
      <c r="B12" s="81">
        <v>361</v>
      </c>
    </row>
    <row r="13" spans="1:2">
      <c r="A13" s="80">
        <v>5412</v>
      </c>
      <c r="B13" s="81">
        <v>361</v>
      </c>
    </row>
    <row r="14" spans="1:2">
      <c r="A14" s="80">
        <v>5415</v>
      </c>
      <c r="B14" s="81">
        <v>361</v>
      </c>
    </row>
    <row r="15" spans="1:2">
      <c r="A15" s="80">
        <v>5416</v>
      </c>
      <c r="B15" s="81">
        <v>361</v>
      </c>
    </row>
    <row r="16" spans="1:2">
      <c r="A16" s="80">
        <v>5417</v>
      </c>
      <c r="B16" s="81">
        <v>361</v>
      </c>
    </row>
    <row r="17" spans="1:2">
      <c r="A17" s="80">
        <v>5418</v>
      </c>
      <c r="B17" s="81">
        <v>361</v>
      </c>
    </row>
    <row r="18" spans="1:2">
      <c r="A18" s="80">
        <v>5419</v>
      </c>
      <c r="B18" s="81">
        <v>361</v>
      </c>
    </row>
    <row r="19" spans="1:2">
      <c r="A19" s="80">
        <v>5420</v>
      </c>
      <c r="B19" s="81">
        <v>361</v>
      </c>
    </row>
    <row r="20" spans="1:2">
      <c r="A20" s="80">
        <v>5421</v>
      </c>
      <c r="B20" s="81">
        <v>361</v>
      </c>
    </row>
    <row r="21" spans="1:2">
      <c r="A21" s="80">
        <v>5422</v>
      </c>
      <c r="B21" s="81">
        <v>361</v>
      </c>
    </row>
    <row r="22" spans="1:2">
      <c r="A22" s="80">
        <v>5423</v>
      </c>
      <c r="B22" s="81">
        <v>361</v>
      </c>
    </row>
    <row r="23" spans="1:2">
      <c r="A23" s="80">
        <v>5424</v>
      </c>
      <c r="B23" s="81">
        <v>361</v>
      </c>
    </row>
    <row r="24" spans="1:2">
      <c r="A24" s="80">
        <v>5425</v>
      </c>
      <c r="B24" s="81">
        <v>361</v>
      </c>
    </row>
    <row r="25" spans="1:2">
      <c r="A25" s="80">
        <v>5426</v>
      </c>
      <c r="B25" s="81">
        <v>361</v>
      </c>
    </row>
    <row r="26" spans="1:2">
      <c r="A26" s="80">
        <v>5427</v>
      </c>
      <c r="B26" s="81">
        <v>361</v>
      </c>
    </row>
    <row r="27" spans="1:2">
      <c r="A27" s="80">
        <v>5428</v>
      </c>
      <c r="B27" s="81">
        <v>361</v>
      </c>
    </row>
    <row r="28" spans="1:2">
      <c r="A28" s="80">
        <v>5435</v>
      </c>
      <c r="B28" s="81">
        <v>361</v>
      </c>
    </row>
    <row r="29" spans="1:2">
      <c r="A29" s="80">
        <v>5436</v>
      </c>
      <c r="B29" s="81">
        <v>361</v>
      </c>
    </row>
    <row r="30" spans="1:2">
      <c r="A30" s="80">
        <v>5437</v>
      </c>
      <c r="B30" s="81">
        <v>361</v>
      </c>
    </row>
    <row r="31" spans="1:2">
      <c r="A31" s="80">
        <v>5438</v>
      </c>
      <c r="B31" s="81">
        <v>361</v>
      </c>
    </row>
    <row r="32" spans="1:2">
      <c r="A32" s="80">
        <v>5439</v>
      </c>
      <c r="B32" s="81">
        <v>361</v>
      </c>
    </row>
    <row r="33" spans="1:2">
      <c r="A33" s="80">
        <v>5440</v>
      </c>
      <c r="B33" s="81">
        <v>361</v>
      </c>
    </row>
    <row r="34" spans="1:2">
      <c r="A34" s="80">
        <v>5441</v>
      </c>
      <c r="B34" s="81">
        <v>361</v>
      </c>
    </row>
    <row r="35" spans="1:2">
      <c r="A35" s="80">
        <v>5442</v>
      </c>
      <c r="B35" s="81">
        <v>361</v>
      </c>
    </row>
    <row r="36" spans="1:2">
      <c r="A36" s="80">
        <v>5443</v>
      </c>
      <c r="B36" s="81">
        <v>361</v>
      </c>
    </row>
    <row r="37" spans="1:2">
      <c r="A37" s="80">
        <v>5444</v>
      </c>
      <c r="B37" s="81">
        <v>361</v>
      </c>
    </row>
    <row r="38" spans="1:2">
      <c r="A38" s="80">
        <v>5445</v>
      </c>
      <c r="B38" s="81">
        <v>361</v>
      </c>
    </row>
    <row r="39" spans="1:2">
      <c r="A39" s="80">
        <v>5446</v>
      </c>
      <c r="B39" s="81">
        <v>361</v>
      </c>
    </row>
    <row r="40" spans="1:2">
      <c r="A40" s="80">
        <v>5447</v>
      </c>
      <c r="B40" s="81">
        <v>361</v>
      </c>
    </row>
    <row r="41" spans="1:2">
      <c r="A41" s="80">
        <v>5448</v>
      </c>
      <c r="B41" s="81">
        <v>361</v>
      </c>
    </row>
    <row r="42" spans="1:2">
      <c r="A42" s="80">
        <v>5449</v>
      </c>
      <c r="B42" s="81">
        <v>361</v>
      </c>
    </row>
    <row r="43" spans="1:2">
      <c r="A43" s="80">
        <v>5450</v>
      </c>
      <c r="B43" s="81">
        <v>361</v>
      </c>
    </row>
    <row r="44" spans="1:2">
      <c r="A44" s="80">
        <v>5463</v>
      </c>
      <c r="B44" s="81">
        <v>361</v>
      </c>
    </row>
    <row r="45" spans="1:2">
      <c r="A45" s="80">
        <v>5464</v>
      </c>
      <c r="B45" s="81">
        <v>361</v>
      </c>
    </row>
    <row r="46" spans="1:2">
      <c r="A46" s="80">
        <v>5465</v>
      </c>
      <c r="B46" s="81">
        <v>361</v>
      </c>
    </row>
    <row r="47" spans="1:2">
      <c r="A47" s="80">
        <v>5466</v>
      </c>
      <c r="B47" s="81">
        <v>361</v>
      </c>
    </row>
    <row r="48" spans="1:2">
      <c r="A48" s="80">
        <v>5467</v>
      </c>
      <c r="B48" s="81">
        <v>361</v>
      </c>
    </row>
    <row r="49" spans="1:2">
      <c r="A49" s="80">
        <v>5468</v>
      </c>
      <c r="B49" s="81">
        <v>361</v>
      </c>
    </row>
    <row r="50" spans="1:2">
      <c r="A50" s="80">
        <v>5451</v>
      </c>
      <c r="B50" s="81">
        <v>361</v>
      </c>
    </row>
    <row r="51" spans="1:2">
      <c r="A51" s="80">
        <v>5452</v>
      </c>
      <c r="B51" s="81">
        <v>361</v>
      </c>
    </row>
    <row r="52" spans="1:2">
      <c r="A52" s="80">
        <v>5453</v>
      </c>
      <c r="B52" s="81">
        <v>361</v>
      </c>
    </row>
    <row r="53" spans="1:2">
      <c r="A53" s="80">
        <v>5454</v>
      </c>
      <c r="B53" s="81">
        <v>361</v>
      </c>
    </row>
    <row r="54" spans="1:2">
      <c r="A54" s="80">
        <v>5455</v>
      </c>
      <c r="B54" s="81">
        <v>361</v>
      </c>
    </row>
    <row r="55" spans="1:2">
      <c r="A55" s="80">
        <v>5456</v>
      </c>
      <c r="B55" s="81">
        <v>361</v>
      </c>
    </row>
    <row r="56" spans="1:2">
      <c r="A56" s="80">
        <v>5429</v>
      </c>
      <c r="B56" s="81">
        <v>361</v>
      </c>
    </row>
    <row r="57" spans="1:2">
      <c r="A57" s="80">
        <v>5430</v>
      </c>
      <c r="B57" s="81">
        <v>361</v>
      </c>
    </row>
    <row r="58" spans="1:2">
      <c r="A58" s="80">
        <v>5431</v>
      </c>
      <c r="B58" s="81">
        <v>361</v>
      </c>
    </row>
    <row r="59" spans="1:2">
      <c r="A59" s="80">
        <v>5432</v>
      </c>
      <c r="B59" s="81">
        <v>361</v>
      </c>
    </row>
    <row r="60" spans="1:2">
      <c r="A60" s="80">
        <v>5433</v>
      </c>
      <c r="B60" s="81">
        <v>361</v>
      </c>
    </row>
    <row r="61" spans="1:2">
      <c r="A61" s="80">
        <v>5434</v>
      </c>
      <c r="B61" s="81">
        <v>361</v>
      </c>
    </row>
    <row r="62" spans="1:2">
      <c r="A62" s="80">
        <v>5457</v>
      </c>
      <c r="B62" s="81">
        <v>361</v>
      </c>
    </row>
    <row r="63" spans="1:2">
      <c r="A63" s="80">
        <v>5458</v>
      </c>
      <c r="B63" s="81">
        <v>361</v>
      </c>
    </row>
    <row r="64" spans="1:2">
      <c r="A64" s="80">
        <v>5459</v>
      </c>
      <c r="B64" s="81">
        <v>361</v>
      </c>
    </row>
    <row r="65" spans="1:2">
      <c r="A65" s="80">
        <v>5460</v>
      </c>
      <c r="B65" s="81">
        <v>361</v>
      </c>
    </row>
    <row r="66" spans="1:2">
      <c r="A66" s="80">
        <v>5461</v>
      </c>
      <c r="B66" s="81">
        <v>361</v>
      </c>
    </row>
    <row r="67" spans="1:2">
      <c r="A67" s="80">
        <v>5462</v>
      </c>
      <c r="B67" s="81">
        <v>361</v>
      </c>
    </row>
    <row r="68" spans="1:2">
      <c r="A68" s="80">
        <v>5471</v>
      </c>
      <c r="B68" s="81">
        <v>361</v>
      </c>
    </row>
    <row r="69" spans="1:2">
      <c r="A69" s="80">
        <v>5472</v>
      </c>
      <c r="B69" s="81">
        <v>361</v>
      </c>
    </row>
    <row r="70" spans="1:2">
      <c r="A70" s="80">
        <v>5473</v>
      </c>
      <c r="B70" s="81">
        <v>361</v>
      </c>
    </row>
    <row r="71" spans="1:2">
      <c r="A71" s="80">
        <v>5474</v>
      </c>
      <c r="B71" s="81">
        <v>361</v>
      </c>
    </row>
    <row r="72" spans="1:2">
      <c r="A72" s="80">
        <v>5475</v>
      </c>
      <c r="B72" s="81">
        <v>361</v>
      </c>
    </row>
    <row r="73" spans="1:2">
      <c r="A73" s="80">
        <v>5476</v>
      </c>
      <c r="B73" s="81">
        <v>361</v>
      </c>
    </row>
    <row r="74" spans="1:2">
      <c r="A74" s="80">
        <v>5477</v>
      </c>
      <c r="B74" s="81">
        <v>361</v>
      </c>
    </row>
    <row r="75" spans="1:2">
      <c r="A75" s="80">
        <v>5478</v>
      </c>
      <c r="B75" s="81">
        <v>361</v>
      </c>
    </row>
    <row r="76" spans="1:2">
      <c r="A76" s="80">
        <v>5479</v>
      </c>
      <c r="B76" s="81">
        <v>361</v>
      </c>
    </row>
    <row r="77" spans="1:2">
      <c r="A77" s="80">
        <v>5480</v>
      </c>
      <c r="B77" s="81">
        <v>361</v>
      </c>
    </row>
    <row r="78" spans="1:2">
      <c r="A78" s="80">
        <v>5481</v>
      </c>
      <c r="B78" s="81">
        <v>361</v>
      </c>
    </row>
    <row r="79" spans="1:2">
      <c r="A79" s="80">
        <v>5482</v>
      </c>
      <c r="B79" s="81">
        <v>361</v>
      </c>
    </row>
    <row r="80" spans="1:2">
      <c r="A80" s="80">
        <v>5483</v>
      </c>
      <c r="B80" s="81">
        <v>361</v>
      </c>
    </row>
    <row r="81" spans="1:2">
      <c r="A81" s="80">
        <v>5484</v>
      </c>
      <c r="B81" s="81">
        <v>361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26FFE-8366-4E3B-9AD1-AF7AAAA255C7}">
  <dimension ref="A1:N16"/>
  <sheetViews>
    <sheetView topLeftCell="B1" workbookViewId="0">
      <selection activeCell="K20" sqref="K20"/>
    </sheetView>
  </sheetViews>
  <sheetFormatPr defaultRowHeight="15" customHeight="1"/>
  <cols>
    <col min="1" max="1" width="12" bestFit="1" customWidth="1"/>
    <col min="2" max="2" width="46.5703125" customWidth="1"/>
    <col min="3" max="3" width="19.42578125" customWidth="1"/>
    <col min="4" max="4" width="17.5703125" customWidth="1"/>
    <col min="7" max="7" width="20.42578125" customWidth="1"/>
    <col min="11" max="11" width="10.28515625" bestFit="1" customWidth="1"/>
    <col min="14" max="14" width="13.5703125" customWidth="1"/>
  </cols>
  <sheetData>
    <row r="1" spans="1:14" ht="14.45">
      <c r="A1" s="49" t="s">
        <v>190</v>
      </c>
      <c r="B1" s="50"/>
      <c r="C1" s="38" t="s">
        <v>191</v>
      </c>
      <c r="D1" s="51" t="s">
        <v>192</v>
      </c>
    </row>
    <row r="2" spans="1:14" ht="14.45">
      <c r="A2" s="52" t="s">
        <v>193</v>
      </c>
      <c r="B2" s="53"/>
      <c r="C2" s="53"/>
      <c r="D2" s="54"/>
    </row>
    <row r="3" spans="1:14" ht="14.45">
      <c r="A3" s="103" t="s">
        <v>194</v>
      </c>
      <c r="B3" s="103"/>
      <c r="C3" s="103"/>
      <c r="D3" s="103"/>
    </row>
    <row r="4" spans="1:14" ht="27.6">
      <c r="A4" s="55" t="s">
        <v>131</v>
      </c>
      <c r="B4" s="55" t="s">
        <v>3</v>
      </c>
      <c r="C4" s="55" t="s">
        <v>195</v>
      </c>
      <c r="D4" s="55" t="s">
        <v>196</v>
      </c>
      <c r="G4" s="66" t="s">
        <v>197</v>
      </c>
      <c r="H4" s="66"/>
    </row>
    <row r="5" spans="1:14" ht="14.45">
      <c r="A5" s="56">
        <v>1</v>
      </c>
      <c r="B5" s="57" t="s">
        <v>198</v>
      </c>
      <c r="C5" s="56" t="s">
        <v>199</v>
      </c>
      <c r="D5" s="45">
        <v>6</v>
      </c>
    </row>
    <row r="6" spans="1:14" ht="27.6">
      <c r="A6" s="56">
        <f>A5+1</f>
        <v>2</v>
      </c>
      <c r="B6" s="57" t="s">
        <v>200</v>
      </c>
      <c r="C6" s="56" t="s">
        <v>199</v>
      </c>
      <c r="D6" s="45">
        <v>9</v>
      </c>
      <c r="K6" s="28" t="s">
        <v>173</v>
      </c>
      <c r="L6" s="28"/>
      <c r="M6" s="28" t="s">
        <v>201</v>
      </c>
      <c r="N6" s="28" t="s">
        <v>202</v>
      </c>
    </row>
    <row r="7" spans="1:14" ht="27.95" customHeight="1">
      <c r="A7" s="56">
        <v>3</v>
      </c>
      <c r="B7" s="57" t="s">
        <v>203</v>
      </c>
      <c r="C7" s="56" t="s">
        <v>199</v>
      </c>
      <c r="D7" s="45">
        <v>15</v>
      </c>
      <c r="G7" s="28" t="s">
        <v>204</v>
      </c>
      <c r="H7" s="28"/>
      <c r="K7" s="69" t="s">
        <v>205</v>
      </c>
      <c r="L7" s="104" t="s">
        <v>206</v>
      </c>
      <c r="M7" s="28">
        <v>10</v>
      </c>
      <c r="N7" s="28">
        <v>24</v>
      </c>
    </row>
    <row r="8" spans="1:14" ht="14.45">
      <c r="A8" s="56">
        <v>4</v>
      </c>
      <c r="B8" s="9" t="s">
        <v>207</v>
      </c>
      <c r="C8" s="44" t="s">
        <v>199</v>
      </c>
      <c r="D8" s="45">
        <v>24</v>
      </c>
      <c r="G8" s="28" t="s">
        <v>208</v>
      </c>
      <c r="H8" s="28"/>
      <c r="K8" s="69" t="s">
        <v>209</v>
      </c>
      <c r="L8" s="104"/>
      <c r="M8" s="28">
        <v>10</v>
      </c>
      <c r="N8" s="28">
        <v>24</v>
      </c>
    </row>
    <row r="9" spans="1:14" ht="14.45">
      <c r="K9" s="69" t="s">
        <v>210</v>
      </c>
      <c r="L9" s="104"/>
      <c r="M9" s="28">
        <v>10</v>
      </c>
      <c r="N9" s="28">
        <v>24</v>
      </c>
    </row>
    <row r="10" spans="1:14" ht="14.45">
      <c r="G10" t="s">
        <v>211</v>
      </c>
      <c r="K10" s="69" t="s">
        <v>212</v>
      </c>
      <c r="L10" s="104" t="s">
        <v>213</v>
      </c>
      <c r="M10" s="28">
        <v>10</v>
      </c>
      <c r="N10" s="28">
        <v>24</v>
      </c>
    </row>
    <row r="11" spans="1:14" ht="14.45">
      <c r="K11" s="69" t="s">
        <v>214</v>
      </c>
      <c r="L11" s="104"/>
      <c r="M11" s="28">
        <v>10</v>
      </c>
      <c r="N11" s="28">
        <v>24</v>
      </c>
    </row>
    <row r="12" spans="1:14" ht="14.45">
      <c r="B12" t="s">
        <v>215</v>
      </c>
      <c r="C12" t="s">
        <v>201</v>
      </c>
      <c r="D12">
        <v>10</v>
      </c>
      <c r="K12" s="69" t="s">
        <v>216</v>
      </c>
      <c r="L12" s="104"/>
      <c r="M12" s="28">
        <v>10</v>
      </c>
      <c r="N12" s="28">
        <v>24</v>
      </c>
    </row>
    <row r="13" spans="1:14" ht="14.45">
      <c r="B13" t="s">
        <v>217</v>
      </c>
      <c r="C13" t="s">
        <v>202</v>
      </c>
      <c r="D13">
        <v>24</v>
      </c>
      <c r="K13" s="69" t="s">
        <v>218</v>
      </c>
      <c r="L13" s="104"/>
      <c r="M13" s="28">
        <v>10</v>
      </c>
      <c r="N13" s="28">
        <v>24</v>
      </c>
    </row>
    <row r="14" spans="1:14" ht="14.45">
      <c r="K14" s="69" t="s">
        <v>219</v>
      </c>
      <c r="L14" s="104"/>
      <c r="M14" s="28">
        <v>10</v>
      </c>
      <c r="N14" s="28">
        <v>24</v>
      </c>
    </row>
    <row r="15" spans="1:14" ht="14.45">
      <c r="K15" s="69" t="s">
        <v>220</v>
      </c>
      <c r="L15" s="104"/>
      <c r="M15" s="28">
        <v>10</v>
      </c>
      <c r="N15" s="28">
        <v>24</v>
      </c>
    </row>
    <row r="16" spans="1:14" ht="14.45"/>
  </sheetData>
  <mergeCells count="3">
    <mergeCell ref="A3:D3"/>
    <mergeCell ref="L7:L9"/>
    <mergeCell ref="L10:L15"/>
  </mergeCells>
  <phoneticPr fontId="10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E83BD-12F8-4D12-97FE-76EBA3623636}">
  <dimension ref="A1:AG917"/>
  <sheetViews>
    <sheetView topLeftCell="G2" workbookViewId="0">
      <selection activeCell="AH16" sqref="AH16"/>
    </sheetView>
  </sheetViews>
  <sheetFormatPr defaultColWidth="7.7109375" defaultRowHeight="13.9"/>
  <cols>
    <col min="1" max="1" width="6.7109375" style="48" customWidth="1"/>
    <col min="2" max="2" width="68.5703125" style="48" customWidth="1"/>
    <col min="3" max="3" width="16.28515625" style="48" bestFit="1" customWidth="1"/>
    <col min="4" max="4" width="12.7109375" style="48" customWidth="1"/>
    <col min="5" max="5" width="3.28515625" style="40" customWidth="1"/>
    <col min="6" max="6" width="13.5703125" style="40" bestFit="1" customWidth="1"/>
    <col min="7" max="7" width="68.42578125" style="40" bestFit="1" customWidth="1"/>
    <col min="8" max="8" width="8.140625" style="40" bestFit="1" customWidth="1"/>
    <col min="9" max="9" width="10.5703125" style="40" bestFit="1" customWidth="1"/>
    <col min="10" max="14" width="9.140625" style="40" customWidth="1"/>
    <col min="15" max="16" width="13.140625" style="40" hidden="1" customWidth="1"/>
    <col min="17" max="17" width="11.85546875" style="40" hidden="1" customWidth="1"/>
    <col min="18" max="22" width="13.140625" style="40" hidden="1" customWidth="1"/>
    <col min="23" max="23" width="14.28515625" style="40" hidden="1" customWidth="1"/>
    <col min="24" max="24" width="13.140625" style="40" hidden="1" customWidth="1"/>
    <col min="25" max="25" width="0" style="40" hidden="1" customWidth="1"/>
    <col min="26" max="26" width="11.85546875" style="40" hidden="1" customWidth="1"/>
    <col min="27" max="28" width="9.140625" style="40" customWidth="1"/>
    <col min="29" max="29" width="10.7109375" style="40" bestFit="1" customWidth="1"/>
    <col min="30" max="30" width="9.140625" style="40" customWidth="1"/>
    <col min="31" max="31" width="11" style="40" bestFit="1" customWidth="1"/>
    <col min="32" max="32" width="12.85546875" style="40" bestFit="1" customWidth="1"/>
    <col min="33" max="33" width="9.140625" style="40" customWidth="1"/>
    <col min="34" max="225" width="9.140625" style="48" customWidth="1"/>
    <col min="226" max="226" width="3.5703125" style="48" customWidth="1"/>
    <col min="227" max="227" width="55.85546875" style="48" customWidth="1"/>
    <col min="228" max="229" width="7.7109375" style="48"/>
    <col min="230" max="230" width="3.5703125" style="48" customWidth="1"/>
    <col min="231" max="231" width="55.85546875" style="48" customWidth="1"/>
    <col min="232" max="233" width="11.42578125" style="48" customWidth="1"/>
    <col min="234" max="234" width="9.140625" style="48" customWidth="1"/>
    <col min="235" max="235" width="4.28515625" style="48" bestFit="1" customWidth="1"/>
    <col min="236" max="236" width="20.28515625" style="48" customWidth="1"/>
    <col min="237" max="237" width="9.140625" style="48" customWidth="1"/>
    <col min="238" max="240" width="0" style="48" hidden="1" customWidth="1"/>
    <col min="241" max="269" width="9.140625" style="48" customWidth="1"/>
    <col min="270" max="281" width="0" style="48" hidden="1" customWidth="1"/>
    <col min="282" max="481" width="9.140625" style="48" customWidth="1"/>
    <col min="482" max="482" width="3.5703125" style="48" customWidth="1"/>
    <col min="483" max="483" width="55.85546875" style="48" customWidth="1"/>
    <col min="484" max="485" width="7.7109375" style="48"/>
    <col min="486" max="486" width="3.5703125" style="48" customWidth="1"/>
    <col min="487" max="487" width="55.85546875" style="48" customWidth="1"/>
    <col min="488" max="489" width="11.42578125" style="48" customWidth="1"/>
    <col min="490" max="490" width="9.140625" style="48" customWidth="1"/>
    <col min="491" max="491" width="4.28515625" style="48" bestFit="1" customWidth="1"/>
    <col min="492" max="492" width="20.28515625" style="48" customWidth="1"/>
    <col min="493" max="493" width="9.140625" style="48" customWidth="1"/>
    <col min="494" max="496" width="0" style="48" hidden="1" customWidth="1"/>
    <col min="497" max="525" width="9.140625" style="48" customWidth="1"/>
    <col min="526" max="537" width="0" style="48" hidden="1" customWidth="1"/>
    <col min="538" max="737" width="9.140625" style="48" customWidth="1"/>
    <col min="738" max="738" width="3.5703125" style="48" customWidth="1"/>
    <col min="739" max="739" width="55.85546875" style="48" customWidth="1"/>
    <col min="740" max="741" width="7.7109375" style="48"/>
    <col min="742" max="742" width="3.5703125" style="48" customWidth="1"/>
    <col min="743" max="743" width="55.85546875" style="48" customWidth="1"/>
    <col min="744" max="745" width="11.42578125" style="48" customWidth="1"/>
    <col min="746" max="746" width="9.140625" style="48" customWidth="1"/>
    <col min="747" max="747" width="4.28515625" style="48" bestFit="1" customWidth="1"/>
    <col min="748" max="748" width="20.28515625" style="48" customWidth="1"/>
    <col min="749" max="749" width="9.140625" style="48" customWidth="1"/>
    <col min="750" max="752" width="0" style="48" hidden="1" customWidth="1"/>
    <col min="753" max="781" width="9.140625" style="48" customWidth="1"/>
    <col min="782" max="793" width="0" style="48" hidden="1" customWidth="1"/>
    <col min="794" max="993" width="9.140625" style="48" customWidth="1"/>
    <col min="994" max="994" width="3.5703125" style="48" customWidth="1"/>
    <col min="995" max="995" width="55.85546875" style="48" customWidth="1"/>
    <col min="996" max="997" width="7.7109375" style="48"/>
    <col min="998" max="998" width="3.5703125" style="48" customWidth="1"/>
    <col min="999" max="999" width="55.85546875" style="48" customWidth="1"/>
    <col min="1000" max="1001" width="11.42578125" style="48" customWidth="1"/>
    <col min="1002" max="1002" width="9.140625" style="48" customWidth="1"/>
    <col min="1003" max="1003" width="4.28515625" style="48" bestFit="1" customWidth="1"/>
    <col min="1004" max="1004" width="20.28515625" style="48" customWidth="1"/>
    <col min="1005" max="1005" width="9.140625" style="48" customWidth="1"/>
    <col min="1006" max="1008" width="0" style="48" hidden="1" customWidth="1"/>
    <col min="1009" max="1037" width="9.140625" style="48" customWidth="1"/>
    <col min="1038" max="1049" width="0" style="48" hidden="1" customWidth="1"/>
    <col min="1050" max="1249" width="9.140625" style="48" customWidth="1"/>
    <col min="1250" max="1250" width="3.5703125" style="48" customWidth="1"/>
    <col min="1251" max="1251" width="55.85546875" style="48" customWidth="1"/>
    <col min="1252" max="1253" width="7.7109375" style="48"/>
    <col min="1254" max="1254" width="3.5703125" style="48" customWidth="1"/>
    <col min="1255" max="1255" width="55.85546875" style="48" customWidth="1"/>
    <col min="1256" max="1257" width="11.42578125" style="48" customWidth="1"/>
    <col min="1258" max="1258" width="9.140625" style="48" customWidth="1"/>
    <col min="1259" max="1259" width="4.28515625" style="48" bestFit="1" customWidth="1"/>
    <col min="1260" max="1260" width="20.28515625" style="48" customWidth="1"/>
    <col min="1261" max="1261" width="9.140625" style="48" customWidth="1"/>
    <col min="1262" max="1264" width="0" style="48" hidden="1" customWidth="1"/>
    <col min="1265" max="1293" width="9.140625" style="48" customWidth="1"/>
    <col min="1294" max="1305" width="0" style="48" hidden="1" customWidth="1"/>
    <col min="1306" max="1505" width="9.140625" style="48" customWidth="1"/>
    <col min="1506" max="1506" width="3.5703125" style="48" customWidth="1"/>
    <col min="1507" max="1507" width="55.85546875" style="48" customWidth="1"/>
    <col min="1508" max="1509" width="7.7109375" style="48"/>
    <col min="1510" max="1510" width="3.5703125" style="48" customWidth="1"/>
    <col min="1511" max="1511" width="55.85546875" style="48" customWidth="1"/>
    <col min="1512" max="1513" width="11.42578125" style="48" customWidth="1"/>
    <col min="1514" max="1514" width="9.140625" style="48" customWidth="1"/>
    <col min="1515" max="1515" width="4.28515625" style="48" bestFit="1" customWidth="1"/>
    <col min="1516" max="1516" width="20.28515625" style="48" customWidth="1"/>
    <col min="1517" max="1517" width="9.140625" style="48" customWidth="1"/>
    <col min="1518" max="1520" width="0" style="48" hidden="1" customWidth="1"/>
    <col min="1521" max="1549" width="9.140625" style="48" customWidth="1"/>
    <col min="1550" max="1561" width="0" style="48" hidden="1" customWidth="1"/>
    <col min="1562" max="1761" width="9.140625" style="48" customWidth="1"/>
    <col min="1762" max="1762" width="3.5703125" style="48" customWidth="1"/>
    <col min="1763" max="1763" width="55.85546875" style="48" customWidth="1"/>
    <col min="1764" max="1765" width="7.7109375" style="48"/>
    <col min="1766" max="1766" width="3.5703125" style="48" customWidth="1"/>
    <col min="1767" max="1767" width="55.85546875" style="48" customWidth="1"/>
    <col min="1768" max="1769" width="11.42578125" style="48" customWidth="1"/>
    <col min="1770" max="1770" width="9.140625" style="48" customWidth="1"/>
    <col min="1771" max="1771" width="4.28515625" style="48" bestFit="1" customWidth="1"/>
    <col min="1772" max="1772" width="20.28515625" style="48" customWidth="1"/>
    <col min="1773" max="1773" width="9.140625" style="48" customWidth="1"/>
    <col min="1774" max="1776" width="0" style="48" hidden="1" customWidth="1"/>
    <col min="1777" max="1805" width="9.140625" style="48" customWidth="1"/>
    <col min="1806" max="1817" width="0" style="48" hidden="1" customWidth="1"/>
    <col min="1818" max="2017" width="9.140625" style="48" customWidth="1"/>
    <col min="2018" max="2018" width="3.5703125" style="48" customWidth="1"/>
    <col min="2019" max="2019" width="55.85546875" style="48" customWidth="1"/>
    <col min="2020" max="2021" width="7.7109375" style="48"/>
    <col min="2022" max="2022" width="3.5703125" style="48" customWidth="1"/>
    <col min="2023" max="2023" width="55.85546875" style="48" customWidth="1"/>
    <col min="2024" max="2025" width="11.42578125" style="48" customWidth="1"/>
    <col min="2026" max="2026" width="9.140625" style="48" customWidth="1"/>
    <col min="2027" max="2027" width="4.28515625" style="48" bestFit="1" customWidth="1"/>
    <col min="2028" max="2028" width="20.28515625" style="48" customWidth="1"/>
    <col min="2029" max="2029" width="9.140625" style="48" customWidth="1"/>
    <col min="2030" max="2032" width="0" style="48" hidden="1" customWidth="1"/>
    <col min="2033" max="2061" width="9.140625" style="48" customWidth="1"/>
    <col min="2062" max="2073" width="0" style="48" hidden="1" customWidth="1"/>
    <col min="2074" max="2273" width="9.140625" style="48" customWidth="1"/>
    <col min="2274" max="2274" width="3.5703125" style="48" customWidth="1"/>
    <col min="2275" max="2275" width="55.85546875" style="48" customWidth="1"/>
    <col min="2276" max="2277" width="7.7109375" style="48"/>
    <col min="2278" max="2278" width="3.5703125" style="48" customWidth="1"/>
    <col min="2279" max="2279" width="55.85546875" style="48" customWidth="1"/>
    <col min="2280" max="2281" width="11.42578125" style="48" customWidth="1"/>
    <col min="2282" max="2282" width="9.140625" style="48" customWidth="1"/>
    <col min="2283" max="2283" width="4.28515625" style="48" bestFit="1" customWidth="1"/>
    <col min="2284" max="2284" width="20.28515625" style="48" customWidth="1"/>
    <col min="2285" max="2285" width="9.140625" style="48" customWidth="1"/>
    <col min="2286" max="2288" width="0" style="48" hidden="1" customWidth="1"/>
    <col min="2289" max="2317" width="9.140625" style="48" customWidth="1"/>
    <col min="2318" max="2329" width="0" style="48" hidden="1" customWidth="1"/>
    <col min="2330" max="2529" width="9.140625" style="48" customWidth="1"/>
    <col min="2530" max="2530" width="3.5703125" style="48" customWidth="1"/>
    <col min="2531" max="2531" width="55.85546875" style="48" customWidth="1"/>
    <col min="2532" max="2533" width="7.7109375" style="48"/>
    <col min="2534" max="2534" width="3.5703125" style="48" customWidth="1"/>
    <col min="2535" max="2535" width="55.85546875" style="48" customWidth="1"/>
    <col min="2536" max="2537" width="11.42578125" style="48" customWidth="1"/>
    <col min="2538" max="2538" width="9.140625" style="48" customWidth="1"/>
    <col min="2539" max="2539" width="4.28515625" style="48" bestFit="1" customWidth="1"/>
    <col min="2540" max="2540" width="20.28515625" style="48" customWidth="1"/>
    <col min="2541" max="2541" width="9.140625" style="48" customWidth="1"/>
    <col min="2542" max="2544" width="0" style="48" hidden="1" customWidth="1"/>
    <col min="2545" max="2573" width="9.140625" style="48" customWidth="1"/>
    <col min="2574" max="2585" width="0" style="48" hidden="1" customWidth="1"/>
    <col min="2586" max="2785" width="9.140625" style="48" customWidth="1"/>
    <col min="2786" max="2786" width="3.5703125" style="48" customWidth="1"/>
    <col min="2787" max="2787" width="55.85546875" style="48" customWidth="1"/>
    <col min="2788" max="2789" width="7.7109375" style="48"/>
    <col min="2790" max="2790" width="3.5703125" style="48" customWidth="1"/>
    <col min="2791" max="2791" width="55.85546875" style="48" customWidth="1"/>
    <col min="2792" max="2793" width="11.42578125" style="48" customWidth="1"/>
    <col min="2794" max="2794" width="9.140625" style="48" customWidth="1"/>
    <col min="2795" max="2795" width="4.28515625" style="48" bestFit="1" customWidth="1"/>
    <col min="2796" max="2796" width="20.28515625" style="48" customWidth="1"/>
    <col min="2797" max="2797" width="9.140625" style="48" customWidth="1"/>
    <col min="2798" max="2800" width="0" style="48" hidden="1" customWidth="1"/>
    <col min="2801" max="2829" width="9.140625" style="48" customWidth="1"/>
    <col min="2830" max="2841" width="0" style="48" hidden="1" customWidth="1"/>
    <col min="2842" max="3041" width="9.140625" style="48" customWidth="1"/>
    <col min="3042" max="3042" width="3.5703125" style="48" customWidth="1"/>
    <col min="3043" max="3043" width="55.85546875" style="48" customWidth="1"/>
    <col min="3044" max="3045" width="7.7109375" style="48"/>
    <col min="3046" max="3046" width="3.5703125" style="48" customWidth="1"/>
    <col min="3047" max="3047" width="55.85546875" style="48" customWidth="1"/>
    <col min="3048" max="3049" width="11.42578125" style="48" customWidth="1"/>
    <col min="3050" max="3050" width="9.140625" style="48" customWidth="1"/>
    <col min="3051" max="3051" width="4.28515625" style="48" bestFit="1" customWidth="1"/>
    <col min="3052" max="3052" width="20.28515625" style="48" customWidth="1"/>
    <col min="3053" max="3053" width="9.140625" style="48" customWidth="1"/>
    <col min="3054" max="3056" width="0" style="48" hidden="1" customWidth="1"/>
    <col min="3057" max="3085" width="9.140625" style="48" customWidth="1"/>
    <col min="3086" max="3097" width="0" style="48" hidden="1" customWidth="1"/>
    <col min="3098" max="3297" width="9.140625" style="48" customWidth="1"/>
    <col min="3298" max="3298" width="3.5703125" style="48" customWidth="1"/>
    <col min="3299" max="3299" width="55.85546875" style="48" customWidth="1"/>
    <col min="3300" max="3301" width="7.7109375" style="48"/>
    <col min="3302" max="3302" width="3.5703125" style="48" customWidth="1"/>
    <col min="3303" max="3303" width="55.85546875" style="48" customWidth="1"/>
    <col min="3304" max="3305" width="11.42578125" style="48" customWidth="1"/>
    <col min="3306" max="3306" width="9.140625" style="48" customWidth="1"/>
    <col min="3307" max="3307" width="4.28515625" style="48" bestFit="1" customWidth="1"/>
    <col min="3308" max="3308" width="20.28515625" style="48" customWidth="1"/>
    <col min="3309" max="3309" width="9.140625" style="48" customWidth="1"/>
    <col min="3310" max="3312" width="0" style="48" hidden="1" customWidth="1"/>
    <col min="3313" max="3341" width="9.140625" style="48" customWidth="1"/>
    <col min="3342" max="3353" width="0" style="48" hidden="1" customWidth="1"/>
    <col min="3354" max="3553" width="9.140625" style="48" customWidth="1"/>
    <col min="3554" max="3554" width="3.5703125" style="48" customWidth="1"/>
    <col min="3555" max="3555" width="55.85546875" style="48" customWidth="1"/>
    <col min="3556" max="3557" width="7.7109375" style="48"/>
    <col min="3558" max="3558" width="3.5703125" style="48" customWidth="1"/>
    <col min="3559" max="3559" width="55.85546875" style="48" customWidth="1"/>
    <col min="3560" max="3561" width="11.42578125" style="48" customWidth="1"/>
    <col min="3562" max="3562" width="9.140625" style="48" customWidth="1"/>
    <col min="3563" max="3563" width="4.28515625" style="48" bestFit="1" customWidth="1"/>
    <col min="3564" max="3564" width="20.28515625" style="48" customWidth="1"/>
    <col min="3565" max="3565" width="9.140625" style="48" customWidth="1"/>
    <col min="3566" max="3568" width="0" style="48" hidden="1" customWidth="1"/>
    <col min="3569" max="3597" width="9.140625" style="48" customWidth="1"/>
    <col min="3598" max="3609" width="0" style="48" hidden="1" customWidth="1"/>
    <col min="3610" max="3809" width="9.140625" style="48" customWidth="1"/>
    <col min="3810" max="3810" width="3.5703125" style="48" customWidth="1"/>
    <col min="3811" max="3811" width="55.85546875" style="48" customWidth="1"/>
    <col min="3812" max="3813" width="7.7109375" style="48"/>
    <col min="3814" max="3814" width="3.5703125" style="48" customWidth="1"/>
    <col min="3815" max="3815" width="55.85546875" style="48" customWidth="1"/>
    <col min="3816" max="3817" width="11.42578125" style="48" customWidth="1"/>
    <col min="3818" max="3818" width="9.140625" style="48" customWidth="1"/>
    <col min="3819" max="3819" width="4.28515625" style="48" bestFit="1" customWidth="1"/>
    <col min="3820" max="3820" width="20.28515625" style="48" customWidth="1"/>
    <col min="3821" max="3821" width="9.140625" style="48" customWidth="1"/>
    <col min="3822" max="3824" width="0" style="48" hidden="1" customWidth="1"/>
    <col min="3825" max="3853" width="9.140625" style="48" customWidth="1"/>
    <col min="3854" max="3865" width="0" style="48" hidden="1" customWidth="1"/>
    <col min="3866" max="4065" width="9.140625" style="48" customWidth="1"/>
    <col min="4066" max="4066" width="3.5703125" style="48" customWidth="1"/>
    <col min="4067" max="4067" width="55.85546875" style="48" customWidth="1"/>
    <col min="4068" max="4069" width="7.7109375" style="48"/>
    <col min="4070" max="4070" width="3.5703125" style="48" customWidth="1"/>
    <col min="4071" max="4071" width="55.85546875" style="48" customWidth="1"/>
    <col min="4072" max="4073" width="11.42578125" style="48" customWidth="1"/>
    <col min="4074" max="4074" width="9.140625" style="48" customWidth="1"/>
    <col min="4075" max="4075" width="4.28515625" style="48" bestFit="1" customWidth="1"/>
    <col min="4076" max="4076" width="20.28515625" style="48" customWidth="1"/>
    <col min="4077" max="4077" width="9.140625" style="48" customWidth="1"/>
    <col min="4078" max="4080" width="0" style="48" hidden="1" customWidth="1"/>
    <col min="4081" max="4109" width="9.140625" style="48" customWidth="1"/>
    <col min="4110" max="4121" width="0" style="48" hidden="1" customWidth="1"/>
    <col min="4122" max="4321" width="9.140625" style="48" customWidth="1"/>
    <col min="4322" max="4322" width="3.5703125" style="48" customWidth="1"/>
    <col min="4323" max="4323" width="55.85546875" style="48" customWidth="1"/>
    <col min="4324" max="4325" width="7.7109375" style="48"/>
    <col min="4326" max="4326" width="3.5703125" style="48" customWidth="1"/>
    <col min="4327" max="4327" width="55.85546875" style="48" customWidth="1"/>
    <col min="4328" max="4329" width="11.42578125" style="48" customWidth="1"/>
    <col min="4330" max="4330" width="9.140625" style="48" customWidth="1"/>
    <col min="4331" max="4331" width="4.28515625" style="48" bestFit="1" customWidth="1"/>
    <col min="4332" max="4332" width="20.28515625" style="48" customWidth="1"/>
    <col min="4333" max="4333" width="9.140625" style="48" customWidth="1"/>
    <col min="4334" max="4336" width="0" style="48" hidden="1" customWidth="1"/>
    <col min="4337" max="4365" width="9.140625" style="48" customWidth="1"/>
    <col min="4366" max="4377" width="0" style="48" hidden="1" customWidth="1"/>
    <col min="4378" max="4577" width="9.140625" style="48" customWidth="1"/>
    <col min="4578" max="4578" width="3.5703125" style="48" customWidth="1"/>
    <col min="4579" max="4579" width="55.85546875" style="48" customWidth="1"/>
    <col min="4580" max="4581" width="7.7109375" style="48"/>
    <col min="4582" max="4582" width="3.5703125" style="48" customWidth="1"/>
    <col min="4583" max="4583" width="55.85546875" style="48" customWidth="1"/>
    <col min="4584" max="4585" width="11.42578125" style="48" customWidth="1"/>
    <col min="4586" max="4586" width="9.140625" style="48" customWidth="1"/>
    <col min="4587" max="4587" width="4.28515625" style="48" bestFit="1" customWidth="1"/>
    <col min="4588" max="4588" width="20.28515625" style="48" customWidth="1"/>
    <col min="4589" max="4589" width="9.140625" style="48" customWidth="1"/>
    <col min="4590" max="4592" width="0" style="48" hidden="1" customWidth="1"/>
    <col min="4593" max="4621" width="9.140625" style="48" customWidth="1"/>
    <col min="4622" max="4633" width="0" style="48" hidden="1" customWidth="1"/>
    <col min="4634" max="4833" width="9.140625" style="48" customWidth="1"/>
    <col min="4834" max="4834" width="3.5703125" style="48" customWidth="1"/>
    <col min="4835" max="4835" width="55.85546875" style="48" customWidth="1"/>
    <col min="4836" max="4837" width="7.7109375" style="48"/>
    <col min="4838" max="4838" width="3.5703125" style="48" customWidth="1"/>
    <col min="4839" max="4839" width="55.85546875" style="48" customWidth="1"/>
    <col min="4840" max="4841" width="11.42578125" style="48" customWidth="1"/>
    <col min="4842" max="4842" width="9.140625" style="48" customWidth="1"/>
    <col min="4843" max="4843" width="4.28515625" style="48" bestFit="1" customWidth="1"/>
    <col min="4844" max="4844" width="20.28515625" style="48" customWidth="1"/>
    <col min="4845" max="4845" width="9.140625" style="48" customWidth="1"/>
    <col min="4846" max="4848" width="0" style="48" hidden="1" customWidth="1"/>
    <col min="4849" max="4877" width="9.140625" style="48" customWidth="1"/>
    <col min="4878" max="4889" width="0" style="48" hidden="1" customWidth="1"/>
    <col min="4890" max="5089" width="9.140625" style="48" customWidth="1"/>
    <col min="5090" max="5090" width="3.5703125" style="48" customWidth="1"/>
    <col min="5091" max="5091" width="55.85546875" style="48" customWidth="1"/>
    <col min="5092" max="5093" width="7.7109375" style="48"/>
    <col min="5094" max="5094" width="3.5703125" style="48" customWidth="1"/>
    <col min="5095" max="5095" width="55.85546875" style="48" customWidth="1"/>
    <col min="5096" max="5097" width="11.42578125" style="48" customWidth="1"/>
    <col min="5098" max="5098" width="9.140625" style="48" customWidth="1"/>
    <col min="5099" max="5099" width="4.28515625" style="48" bestFit="1" customWidth="1"/>
    <col min="5100" max="5100" width="20.28515625" style="48" customWidth="1"/>
    <col min="5101" max="5101" width="9.140625" style="48" customWidth="1"/>
    <col min="5102" max="5104" width="0" style="48" hidden="1" customWidth="1"/>
    <col min="5105" max="5133" width="9.140625" style="48" customWidth="1"/>
    <col min="5134" max="5145" width="0" style="48" hidden="1" customWidth="1"/>
    <col min="5146" max="5345" width="9.140625" style="48" customWidth="1"/>
    <col min="5346" max="5346" width="3.5703125" style="48" customWidth="1"/>
    <col min="5347" max="5347" width="55.85546875" style="48" customWidth="1"/>
    <col min="5348" max="5349" width="7.7109375" style="48"/>
    <col min="5350" max="5350" width="3.5703125" style="48" customWidth="1"/>
    <col min="5351" max="5351" width="55.85546875" style="48" customWidth="1"/>
    <col min="5352" max="5353" width="11.42578125" style="48" customWidth="1"/>
    <col min="5354" max="5354" width="9.140625" style="48" customWidth="1"/>
    <col min="5355" max="5355" width="4.28515625" style="48" bestFit="1" customWidth="1"/>
    <col min="5356" max="5356" width="20.28515625" style="48" customWidth="1"/>
    <col min="5357" max="5357" width="9.140625" style="48" customWidth="1"/>
    <col min="5358" max="5360" width="0" style="48" hidden="1" customWidth="1"/>
    <col min="5361" max="5389" width="9.140625" style="48" customWidth="1"/>
    <col min="5390" max="5401" width="0" style="48" hidden="1" customWidth="1"/>
    <col min="5402" max="5601" width="9.140625" style="48" customWidth="1"/>
    <col min="5602" max="5602" width="3.5703125" style="48" customWidth="1"/>
    <col min="5603" max="5603" width="55.85546875" style="48" customWidth="1"/>
    <col min="5604" max="5605" width="7.7109375" style="48"/>
    <col min="5606" max="5606" width="3.5703125" style="48" customWidth="1"/>
    <col min="5607" max="5607" width="55.85546875" style="48" customWidth="1"/>
    <col min="5608" max="5609" width="11.42578125" style="48" customWidth="1"/>
    <col min="5610" max="5610" width="9.140625" style="48" customWidth="1"/>
    <col min="5611" max="5611" width="4.28515625" style="48" bestFit="1" customWidth="1"/>
    <col min="5612" max="5612" width="20.28515625" style="48" customWidth="1"/>
    <col min="5613" max="5613" width="9.140625" style="48" customWidth="1"/>
    <col min="5614" max="5616" width="0" style="48" hidden="1" customWidth="1"/>
    <col min="5617" max="5645" width="9.140625" style="48" customWidth="1"/>
    <col min="5646" max="5657" width="0" style="48" hidden="1" customWidth="1"/>
    <col min="5658" max="5857" width="9.140625" style="48" customWidth="1"/>
    <col min="5858" max="5858" width="3.5703125" style="48" customWidth="1"/>
    <col min="5859" max="5859" width="55.85546875" style="48" customWidth="1"/>
    <col min="5860" max="5861" width="7.7109375" style="48"/>
    <col min="5862" max="5862" width="3.5703125" style="48" customWidth="1"/>
    <col min="5863" max="5863" width="55.85546875" style="48" customWidth="1"/>
    <col min="5864" max="5865" width="11.42578125" style="48" customWidth="1"/>
    <col min="5866" max="5866" width="9.140625" style="48" customWidth="1"/>
    <col min="5867" max="5867" width="4.28515625" style="48" bestFit="1" customWidth="1"/>
    <col min="5868" max="5868" width="20.28515625" style="48" customWidth="1"/>
    <col min="5869" max="5869" width="9.140625" style="48" customWidth="1"/>
    <col min="5870" max="5872" width="0" style="48" hidden="1" customWidth="1"/>
    <col min="5873" max="5901" width="9.140625" style="48" customWidth="1"/>
    <col min="5902" max="5913" width="0" style="48" hidden="1" customWidth="1"/>
    <col min="5914" max="6113" width="9.140625" style="48" customWidth="1"/>
    <col min="6114" max="6114" width="3.5703125" style="48" customWidth="1"/>
    <col min="6115" max="6115" width="55.85546875" style="48" customWidth="1"/>
    <col min="6116" max="6117" width="7.7109375" style="48"/>
    <col min="6118" max="6118" width="3.5703125" style="48" customWidth="1"/>
    <col min="6119" max="6119" width="55.85546875" style="48" customWidth="1"/>
    <col min="6120" max="6121" width="11.42578125" style="48" customWidth="1"/>
    <col min="6122" max="6122" width="9.140625" style="48" customWidth="1"/>
    <col min="6123" max="6123" width="4.28515625" style="48" bestFit="1" customWidth="1"/>
    <col min="6124" max="6124" width="20.28515625" style="48" customWidth="1"/>
    <col min="6125" max="6125" width="9.140625" style="48" customWidth="1"/>
    <col min="6126" max="6128" width="0" style="48" hidden="1" customWidth="1"/>
    <col min="6129" max="6157" width="9.140625" style="48" customWidth="1"/>
    <col min="6158" max="6169" width="0" style="48" hidden="1" customWidth="1"/>
    <col min="6170" max="6369" width="9.140625" style="48" customWidth="1"/>
    <col min="6370" max="6370" width="3.5703125" style="48" customWidth="1"/>
    <col min="6371" max="6371" width="55.85546875" style="48" customWidth="1"/>
    <col min="6372" max="6373" width="7.7109375" style="48"/>
    <col min="6374" max="6374" width="3.5703125" style="48" customWidth="1"/>
    <col min="6375" max="6375" width="55.85546875" style="48" customWidth="1"/>
    <col min="6376" max="6377" width="11.42578125" style="48" customWidth="1"/>
    <col min="6378" max="6378" width="9.140625" style="48" customWidth="1"/>
    <col min="6379" max="6379" width="4.28515625" style="48" bestFit="1" customWidth="1"/>
    <col min="6380" max="6380" width="20.28515625" style="48" customWidth="1"/>
    <col min="6381" max="6381" width="9.140625" style="48" customWidth="1"/>
    <col min="6382" max="6384" width="0" style="48" hidden="1" customWidth="1"/>
    <col min="6385" max="6413" width="9.140625" style="48" customWidth="1"/>
    <col min="6414" max="6425" width="0" style="48" hidden="1" customWidth="1"/>
    <col min="6426" max="6625" width="9.140625" style="48" customWidth="1"/>
    <col min="6626" max="6626" width="3.5703125" style="48" customWidth="1"/>
    <col min="6627" max="6627" width="55.85546875" style="48" customWidth="1"/>
    <col min="6628" max="6629" width="7.7109375" style="48"/>
    <col min="6630" max="6630" width="3.5703125" style="48" customWidth="1"/>
    <col min="6631" max="6631" width="55.85546875" style="48" customWidth="1"/>
    <col min="6632" max="6633" width="11.42578125" style="48" customWidth="1"/>
    <col min="6634" max="6634" width="9.140625" style="48" customWidth="1"/>
    <col min="6635" max="6635" width="4.28515625" style="48" bestFit="1" customWidth="1"/>
    <col min="6636" max="6636" width="20.28515625" style="48" customWidth="1"/>
    <col min="6637" max="6637" width="9.140625" style="48" customWidth="1"/>
    <col min="6638" max="6640" width="0" style="48" hidden="1" customWidth="1"/>
    <col min="6641" max="6669" width="9.140625" style="48" customWidth="1"/>
    <col min="6670" max="6681" width="0" style="48" hidden="1" customWidth="1"/>
    <col min="6682" max="6881" width="9.140625" style="48" customWidth="1"/>
    <col min="6882" max="6882" width="3.5703125" style="48" customWidth="1"/>
    <col min="6883" max="6883" width="55.85546875" style="48" customWidth="1"/>
    <col min="6884" max="6885" width="7.7109375" style="48"/>
    <col min="6886" max="6886" width="3.5703125" style="48" customWidth="1"/>
    <col min="6887" max="6887" width="55.85546875" style="48" customWidth="1"/>
    <col min="6888" max="6889" width="11.42578125" style="48" customWidth="1"/>
    <col min="6890" max="6890" width="9.140625" style="48" customWidth="1"/>
    <col min="6891" max="6891" width="4.28515625" style="48" bestFit="1" customWidth="1"/>
    <col min="6892" max="6892" width="20.28515625" style="48" customWidth="1"/>
    <col min="6893" max="6893" width="9.140625" style="48" customWidth="1"/>
    <col min="6894" max="6896" width="0" style="48" hidden="1" customWidth="1"/>
    <col min="6897" max="6925" width="9.140625" style="48" customWidth="1"/>
    <col min="6926" max="6937" width="0" style="48" hidden="1" customWidth="1"/>
    <col min="6938" max="7137" width="9.140625" style="48" customWidth="1"/>
    <col min="7138" max="7138" width="3.5703125" style="48" customWidth="1"/>
    <col min="7139" max="7139" width="55.85546875" style="48" customWidth="1"/>
    <col min="7140" max="7141" width="7.7109375" style="48"/>
    <col min="7142" max="7142" width="3.5703125" style="48" customWidth="1"/>
    <col min="7143" max="7143" width="55.85546875" style="48" customWidth="1"/>
    <col min="7144" max="7145" width="11.42578125" style="48" customWidth="1"/>
    <col min="7146" max="7146" width="9.140625" style="48" customWidth="1"/>
    <col min="7147" max="7147" width="4.28515625" style="48" bestFit="1" customWidth="1"/>
    <col min="7148" max="7148" width="20.28515625" style="48" customWidth="1"/>
    <col min="7149" max="7149" width="9.140625" style="48" customWidth="1"/>
    <col min="7150" max="7152" width="0" style="48" hidden="1" customWidth="1"/>
    <col min="7153" max="7181" width="9.140625" style="48" customWidth="1"/>
    <col min="7182" max="7193" width="0" style="48" hidden="1" customWidth="1"/>
    <col min="7194" max="7393" width="9.140625" style="48" customWidth="1"/>
    <col min="7394" max="7394" width="3.5703125" style="48" customWidth="1"/>
    <col min="7395" max="7395" width="55.85546875" style="48" customWidth="1"/>
    <col min="7396" max="7397" width="7.7109375" style="48"/>
    <col min="7398" max="7398" width="3.5703125" style="48" customWidth="1"/>
    <col min="7399" max="7399" width="55.85546875" style="48" customWidth="1"/>
    <col min="7400" max="7401" width="11.42578125" style="48" customWidth="1"/>
    <col min="7402" max="7402" width="9.140625" style="48" customWidth="1"/>
    <col min="7403" max="7403" width="4.28515625" style="48" bestFit="1" customWidth="1"/>
    <col min="7404" max="7404" width="20.28515625" style="48" customWidth="1"/>
    <col min="7405" max="7405" width="9.140625" style="48" customWidth="1"/>
    <col min="7406" max="7408" width="0" style="48" hidden="1" customWidth="1"/>
    <col min="7409" max="7437" width="9.140625" style="48" customWidth="1"/>
    <col min="7438" max="7449" width="0" style="48" hidden="1" customWidth="1"/>
    <col min="7450" max="7649" width="9.140625" style="48" customWidth="1"/>
    <col min="7650" max="7650" width="3.5703125" style="48" customWidth="1"/>
    <col min="7651" max="7651" width="55.85546875" style="48" customWidth="1"/>
    <col min="7652" max="7653" width="7.7109375" style="48"/>
    <col min="7654" max="7654" width="3.5703125" style="48" customWidth="1"/>
    <col min="7655" max="7655" width="55.85546875" style="48" customWidth="1"/>
    <col min="7656" max="7657" width="11.42578125" style="48" customWidth="1"/>
    <col min="7658" max="7658" width="9.140625" style="48" customWidth="1"/>
    <col min="7659" max="7659" width="4.28515625" style="48" bestFit="1" customWidth="1"/>
    <col min="7660" max="7660" width="20.28515625" style="48" customWidth="1"/>
    <col min="7661" max="7661" width="9.140625" style="48" customWidth="1"/>
    <col min="7662" max="7664" width="0" style="48" hidden="1" customWidth="1"/>
    <col min="7665" max="7693" width="9.140625" style="48" customWidth="1"/>
    <col min="7694" max="7705" width="0" style="48" hidden="1" customWidth="1"/>
    <col min="7706" max="7905" width="9.140625" style="48" customWidth="1"/>
    <col min="7906" max="7906" width="3.5703125" style="48" customWidth="1"/>
    <col min="7907" max="7907" width="55.85546875" style="48" customWidth="1"/>
    <col min="7908" max="7909" width="7.7109375" style="48"/>
    <col min="7910" max="7910" width="3.5703125" style="48" customWidth="1"/>
    <col min="7911" max="7911" width="55.85546875" style="48" customWidth="1"/>
    <col min="7912" max="7913" width="11.42578125" style="48" customWidth="1"/>
    <col min="7914" max="7914" width="9.140625" style="48" customWidth="1"/>
    <col min="7915" max="7915" width="4.28515625" style="48" bestFit="1" customWidth="1"/>
    <col min="7916" max="7916" width="20.28515625" style="48" customWidth="1"/>
    <col min="7917" max="7917" width="9.140625" style="48" customWidth="1"/>
    <col min="7918" max="7920" width="0" style="48" hidden="1" customWidth="1"/>
    <col min="7921" max="7949" width="9.140625" style="48" customWidth="1"/>
    <col min="7950" max="7961" width="0" style="48" hidden="1" customWidth="1"/>
    <col min="7962" max="8161" width="9.140625" style="48" customWidth="1"/>
    <col min="8162" max="8162" width="3.5703125" style="48" customWidth="1"/>
    <col min="8163" max="8163" width="55.85546875" style="48" customWidth="1"/>
    <col min="8164" max="8165" width="7.7109375" style="48"/>
    <col min="8166" max="8166" width="3.5703125" style="48" customWidth="1"/>
    <col min="8167" max="8167" width="55.85546875" style="48" customWidth="1"/>
    <col min="8168" max="8169" width="11.42578125" style="48" customWidth="1"/>
    <col min="8170" max="8170" width="9.140625" style="48" customWidth="1"/>
    <col min="8171" max="8171" width="4.28515625" style="48" bestFit="1" customWidth="1"/>
    <col min="8172" max="8172" width="20.28515625" style="48" customWidth="1"/>
    <col min="8173" max="8173" width="9.140625" style="48" customWidth="1"/>
    <col min="8174" max="8176" width="0" style="48" hidden="1" customWidth="1"/>
    <col min="8177" max="8205" width="9.140625" style="48" customWidth="1"/>
    <col min="8206" max="8217" width="0" style="48" hidden="1" customWidth="1"/>
    <col min="8218" max="8417" width="9.140625" style="48" customWidth="1"/>
    <col min="8418" max="8418" width="3.5703125" style="48" customWidth="1"/>
    <col min="8419" max="8419" width="55.85546875" style="48" customWidth="1"/>
    <col min="8420" max="8421" width="7.7109375" style="48"/>
    <col min="8422" max="8422" width="3.5703125" style="48" customWidth="1"/>
    <col min="8423" max="8423" width="55.85546875" style="48" customWidth="1"/>
    <col min="8424" max="8425" width="11.42578125" style="48" customWidth="1"/>
    <col min="8426" max="8426" width="9.140625" style="48" customWidth="1"/>
    <col min="8427" max="8427" width="4.28515625" style="48" bestFit="1" customWidth="1"/>
    <col min="8428" max="8428" width="20.28515625" style="48" customWidth="1"/>
    <col min="8429" max="8429" width="9.140625" style="48" customWidth="1"/>
    <col min="8430" max="8432" width="0" style="48" hidden="1" customWidth="1"/>
    <col min="8433" max="8461" width="9.140625" style="48" customWidth="1"/>
    <col min="8462" max="8473" width="0" style="48" hidden="1" customWidth="1"/>
    <col min="8474" max="8673" width="9.140625" style="48" customWidth="1"/>
    <col min="8674" max="8674" width="3.5703125" style="48" customWidth="1"/>
    <col min="8675" max="8675" width="55.85546875" style="48" customWidth="1"/>
    <col min="8676" max="8677" width="7.7109375" style="48"/>
    <col min="8678" max="8678" width="3.5703125" style="48" customWidth="1"/>
    <col min="8679" max="8679" width="55.85546875" style="48" customWidth="1"/>
    <col min="8680" max="8681" width="11.42578125" style="48" customWidth="1"/>
    <col min="8682" max="8682" width="9.140625" style="48" customWidth="1"/>
    <col min="8683" max="8683" width="4.28515625" style="48" bestFit="1" customWidth="1"/>
    <col min="8684" max="8684" width="20.28515625" style="48" customWidth="1"/>
    <col min="8685" max="8685" width="9.140625" style="48" customWidth="1"/>
    <col min="8686" max="8688" width="0" style="48" hidden="1" customWidth="1"/>
    <col min="8689" max="8717" width="9.140625" style="48" customWidth="1"/>
    <col min="8718" max="8729" width="0" style="48" hidden="1" customWidth="1"/>
    <col min="8730" max="8929" width="9.140625" style="48" customWidth="1"/>
    <col min="8930" max="8930" width="3.5703125" style="48" customWidth="1"/>
    <col min="8931" max="8931" width="55.85546875" style="48" customWidth="1"/>
    <col min="8932" max="8933" width="7.7109375" style="48"/>
    <col min="8934" max="8934" width="3.5703125" style="48" customWidth="1"/>
    <col min="8935" max="8935" width="55.85546875" style="48" customWidth="1"/>
    <col min="8936" max="8937" width="11.42578125" style="48" customWidth="1"/>
    <col min="8938" max="8938" width="9.140625" style="48" customWidth="1"/>
    <col min="8939" max="8939" width="4.28515625" style="48" bestFit="1" customWidth="1"/>
    <col min="8940" max="8940" width="20.28515625" style="48" customWidth="1"/>
    <col min="8941" max="8941" width="9.140625" style="48" customWidth="1"/>
    <col min="8942" max="8944" width="0" style="48" hidden="1" customWidth="1"/>
    <col min="8945" max="8973" width="9.140625" style="48" customWidth="1"/>
    <col min="8974" max="8985" width="0" style="48" hidden="1" customWidth="1"/>
    <col min="8986" max="9185" width="9.140625" style="48" customWidth="1"/>
    <col min="9186" max="9186" width="3.5703125" style="48" customWidth="1"/>
    <col min="9187" max="9187" width="55.85546875" style="48" customWidth="1"/>
    <col min="9188" max="9189" width="7.7109375" style="48"/>
    <col min="9190" max="9190" width="3.5703125" style="48" customWidth="1"/>
    <col min="9191" max="9191" width="55.85546875" style="48" customWidth="1"/>
    <col min="9192" max="9193" width="11.42578125" style="48" customWidth="1"/>
    <col min="9194" max="9194" width="9.140625" style="48" customWidth="1"/>
    <col min="9195" max="9195" width="4.28515625" style="48" bestFit="1" customWidth="1"/>
    <col min="9196" max="9196" width="20.28515625" style="48" customWidth="1"/>
    <col min="9197" max="9197" width="9.140625" style="48" customWidth="1"/>
    <col min="9198" max="9200" width="0" style="48" hidden="1" customWidth="1"/>
    <col min="9201" max="9229" width="9.140625" style="48" customWidth="1"/>
    <col min="9230" max="9241" width="0" style="48" hidden="1" customWidth="1"/>
    <col min="9242" max="9441" width="9.140625" style="48" customWidth="1"/>
    <col min="9442" max="9442" width="3.5703125" style="48" customWidth="1"/>
    <col min="9443" max="9443" width="55.85546875" style="48" customWidth="1"/>
    <col min="9444" max="9445" width="7.7109375" style="48"/>
    <col min="9446" max="9446" width="3.5703125" style="48" customWidth="1"/>
    <col min="9447" max="9447" width="55.85546875" style="48" customWidth="1"/>
    <col min="9448" max="9449" width="11.42578125" style="48" customWidth="1"/>
    <col min="9450" max="9450" width="9.140625" style="48" customWidth="1"/>
    <col min="9451" max="9451" width="4.28515625" style="48" bestFit="1" customWidth="1"/>
    <col min="9452" max="9452" width="20.28515625" style="48" customWidth="1"/>
    <col min="9453" max="9453" width="9.140625" style="48" customWidth="1"/>
    <col min="9454" max="9456" width="0" style="48" hidden="1" customWidth="1"/>
    <col min="9457" max="9485" width="9.140625" style="48" customWidth="1"/>
    <col min="9486" max="9497" width="0" style="48" hidden="1" customWidth="1"/>
    <col min="9498" max="9697" width="9.140625" style="48" customWidth="1"/>
    <col min="9698" max="9698" width="3.5703125" style="48" customWidth="1"/>
    <col min="9699" max="9699" width="55.85546875" style="48" customWidth="1"/>
    <col min="9700" max="9701" width="7.7109375" style="48"/>
    <col min="9702" max="9702" width="3.5703125" style="48" customWidth="1"/>
    <col min="9703" max="9703" width="55.85546875" style="48" customWidth="1"/>
    <col min="9704" max="9705" width="11.42578125" style="48" customWidth="1"/>
    <col min="9706" max="9706" width="9.140625" style="48" customWidth="1"/>
    <col min="9707" max="9707" width="4.28515625" style="48" bestFit="1" customWidth="1"/>
    <col min="9708" max="9708" width="20.28515625" style="48" customWidth="1"/>
    <col min="9709" max="9709" width="9.140625" style="48" customWidth="1"/>
    <col min="9710" max="9712" width="0" style="48" hidden="1" customWidth="1"/>
    <col min="9713" max="9741" width="9.140625" style="48" customWidth="1"/>
    <col min="9742" max="9753" width="0" style="48" hidden="1" customWidth="1"/>
    <col min="9754" max="9953" width="9.140625" style="48" customWidth="1"/>
    <col min="9954" max="9954" width="3.5703125" style="48" customWidth="1"/>
    <col min="9955" max="9955" width="55.85546875" style="48" customWidth="1"/>
    <col min="9956" max="9957" width="7.7109375" style="48"/>
    <col min="9958" max="9958" width="3.5703125" style="48" customWidth="1"/>
    <col min="9959" max="9959" width="55.85546875" style="48" customWidth="1"/>
    <col min="9960" max="9961" width="11.42578125" style="48" customWidth="1"/>
    <col min="9962" max="9962" width="9.140625" style="48" customWidth="1"/>
    <col min="9963" max="9963" width="4.28515625" style="48" bestFit="1" customWidth="1"/>
    <col min="9964" max="9964" width="20.28515625" style="48" customWidth="1"/>
    <col min="9965" max="9965" width="9.140625" style="48" customWidth="1"/>
    <col min="9966" max="9968" width="0" style="48" hidden="1" customWidth="1"/>
    <col min="9969" max="9997" width="9.140625" style="48" customWidth="1"/>
    <col min="9998" max="10009" width="0" style="48" hidden="1" customWidth="1"/>
    <col min="10010" max="10209" width="9.140625" style="48" customWidth="1"/>
    <col min="10210" max="10210" width="3.5703125" style="48" customWidth="1"/>
    <col min="10211" max="10211" width="55.85546875" style="48" customWidth="1"/>
    <col min="10212" max="10213" width="7.7109375" style="48"/>
    <col min="10214" max="10214" width="3.5703125" style="48" customWidth="1"/>
    <col min="10215" max="10215" width="55.85546875" style="48" customWidth="1"/>
    <col min="10216" max="10217" width="11.42578125" style="48" customWidth="1"/>
    <col min="10218" max="10218" width="9.140625" style="48" customWidth="1"/>
    <col min="10219" max="10219" width="4.28515625" style="48" bestFit="1" customWidth="1"/>
    <col min="10220" max="10220" width="20.28515625" style="48" customWidth="1"/>
    <col min="10221" max="10221" width="9.140625" style="48" customWidth="1"/>
    <col min="10222" max="10224" width="0" style="48" hidden="1" customWidth="1"/>
    <col min="10225" max="10253" width="9.140625" style="48" customWidth="1"/>
    <col min="10254" max="10265" width="0" style="48" hidden="1" customWidth="1"/>
    <col min="10266" max="10465" width="9.140625" style="48" customWidth="1"/>
    <col min="10466" max="10466" width="3.5703125" style="48" customWidth="1"/>
    <col min="10467" max="10467" width="55.85546875" style="48" customWidth="1"/>
    <col min="10468" max="10469" width="7.7109375" style="48"/>
    <col min="10470" max="10470" width="3.5703125" style="48" customWidth="1"/>
    <col min="10471" max="10471" width="55.85546875" style="48" customWidth="1"/>
    <col min="10472" max="10473" width="11.42578125" style="48" customWidth="1"/>
    <col min="10474" max="10474" width="9.140625" style="48" customWidth="1"/>
    <col min="10475" max="10475" width="4.28515625" style="48" bestFit="1" customWidth="1"/>
    <col min="10476" max="10476" width="20.28515625" style="48" customWidth="1"/>
    <col min="10477" max="10477" width="9.140625" style="48" customWidth="1"/>
    <col min="10478" max="10480" width="0" style="48" hidden="1" customWidth="1"/>
    <col min="10481" max="10509" width="9.140625" style="48" customWidth="1"/>
    <col min="10510" max="10521" width="0" style="48" hidden="1" customWidth="1"/>
    <col min="10522" max="10721" width="9.140625" style="48" customWidth="1"/>
    <col min="10722" max="10722" width="3.5703125" style="48" customWidth="1"/>
    <col min="10723" max="10723" width="55.85546875" style="48" customWidth="1"/>
    <col min="10724" max="10725" width="7.7109375" style="48"/>
    <col min="10726" max="10726" width="3.5703125" style="48" customWidth="1"/>
    <col min="10727" max="10727" width="55.85546875" style="48" customWidth="1"/>
    <col min="10728" max="10729" width="11.42578125" style="48" customWidth="1"/>
    <col min="10730" max="10730" width="9.140625" style="48" customWidth="1"/>
    <col min="10731" max="10731" width="4.28515625" style="48" bestFit="1" customWidth="1"/>
    <col min="10732" max="10732" width="20.28515625" style="48" customWidth="1"/>
    <col min="10733" max="10733" width="9.140625" style="48" customWidth="1"/>
    <col min="10734" max="10736" width="0" style="48" hidden="1" customWidth="1"/>
    <col min="10737" max="10765" width="9.140625" style="48" customWidth="1"/>
    <col min="10766" max="10777" width="0" style="48" hidden="1" customWidth="1"/>
    <col min="10778" max="10977" width="9.140625" style="48" customWidth="1"/>
    <col min="10978" max="10978" width="3.5703125" style="48" customWidth="1"/>
    <col min="10979" max="10979" width="55.85546875" style="48" customWidth="1"/>
    <col min="10980" max="10981" width="7.7109375" style="48"/>
    <col min="10982" max="10982" width="3.5703125" style="48" customWidth="1"/>
    <col min="10983" max="10983" width="55.85546875" style="48" customWidth="1"/>
    <col min="10984" max="10985" width="11.42578125" style="48" customWidth="1"/>
    <col min="10986" max="10986" width="9.140625" style="48" customWidth="1"/>
    <col min="10987" max="10987" width="4.28515625" style="48" bestFit="1" customWidth="1"/>
    <col min="10988" max="10988" width="20.28515625" style="48" customWidth="1"/>
    <col min="10989" max="10989" width="9.140625" style="48" customWidth="1"/>
    <col min="10990" max="10992" width="0" style="48" hidden="1" customWidth="1"/>
    <col min="10993" max="11021" width="9.140625" style="48" customWidth="1"/>
    <col min="11022" max="11033" width="0" style="48" hidden="1" customWidth="1"/>
    <col min="11034" max="11233" width="9.140625" style="48" customWidth="1"/>
    <col min="11234" max="11234" width="3.5703125" style="48" customWidth="1"/>
    <col min="11235" max="11235" width="55.85546875" style="48" customWidth="1"/>
    <col min="11236" max="11237" width="7.7109375" style="48"/>
    <col min="11238" max="11238" width="3.5703125" style="48" customWidth="1"/>
    <col min="11239" max="11239" width="55.85546875" style="48" customWidth="1"/>
    <col min="11240" max="11241" width="11.42578125" style="48" customWidth="1"/>
    <col min="11242" max="11242" width="9.140625" style="48" customWidth="1"/>
    <col min="11243" max="11243" width="4.28515625" style="48" bestFit="1" customWidth="1"/>
    <col min="11244" max="11244" width="20.28515625" style="48" customWidth="1"/>
    <col min="11245" max="11245" width="9.140625" style="48" customWidth="1"/>
    <col min="11246" max="11248" width="0" style="48" hidden="1" customWidth="1"/>
    <col min="11249" max="11277" width="9.140625" style="48" customWidth="1"/>
    <col min="11278" max="11289" width="0" style="48" hidden="1" customWidth="1"/>
    <col min="11290" max="11489" width="9.140625" style="48" customWidth="1"/>
    <col min="11490" max="11490" width="3.5703125" style="48" customWidth="1"/>
    <col min="11491" max="11491" width="55.85546875" style="48" customWidth="1"/>
    <col min="11492" max="11493" width="7.7109375" style="48"/>
    <col min="11494" max="11494" width="3.5703125" style="48" customWidth="1"/>
    <col min="11495" max="11495" width="55.85546875" style="48" customWidth="1"/>
    <col min="11496" max="11497" width="11.42578125" style="48" customWidth="1"/>
    <col min="11498" max="11498" width="9.140625" style="48" customWidth="1"/>
    <col min="11499" max="11499" width="4.28515625" style="48" bestFit="1" customWidth="1"/>
    <col min="11500" max="11500" width="20.28515625" style="48" customWidth="1"/>
    <col min="11501" max="11501" width="9.140625" style="48" customWidth="1"/>
    <col min="11502" max="11504" width="0" style="48" hidden="1" customWidth="1"/>
    <col min="11505" max="11533" width="9.140625" style="48" customWidth="1"/>
    <col min="11534" max="11545" width="0" style="48" hidden="1" customWidth="1"/>
    <col min="11546" max="11745" width="9.140625" style="48" customWidth="1"/>
    <col min="11746" max="11746" width="3.5703125" style="48" customWidth="1"/>
    <col min="11747" max="11747" width="55.85546875" style="48" customWidth="1"/>
    <col min="11748" max="11749" width="7.7109375" style="48"/>
    <col min="11750" max="11750" width="3.5703125" style="48" customWidth="1"/>
    <col min="11751" max="11751" width="55.85546875" style="48" customWidth="1"/>
    <col min="11752" max="11753" width="11.42578125" style="48" customWidth="1"/>
    <col min="11754" max="11754" width="9.140625" style="48" customWidth="1"/>
    <col min="11755" max="11755" width="4.28515625" style="48" bestFit="1" customWidth="1"/>
    <col min="11756" max="11756" width="20.28515625" style="48" customWidth="1"/>
    <col min="11757" max="11757" width="9.140625" style="48" customWidth="1"/>
    <col min="11758" max="11760" width="0" style="48" hidden="1" customWidth="1"/>
    <col min="11761" max="11789" width="9.140625" style="48" customWidth="1"/>
    <col min="11790" max="11801" width="0" style="48" hidden="1" customWidth="1"/>
    <col min="11802" max="12001" width="9.140625" style="48" customWidth="1"/>
    <col min="12002" max="12002" width="3.5703125" style="48" customWidth="1"/>
    <col min="12003" max="12003" width="55.85546875" style="48" customWidth="1"/>
    <col min="12004" max="12005" width="7.7109375" style="48"/>
    <col min="12006" max="12006" width="3.5703125" style="48" customWidth="1"/>
    <col min="12007" max="12007" width="55.85546875" style="48" customWidth="1"/>
    <col min="12008" max="12009" width="11.42578125" style="48" customWidth="1"/>
    <col min="12010" max="12010" width="9.140625" style="48" customWidth="1"/>
    <col min="12011" max="12011" width="4.28515625" style="48" bestFit="1" customWidth="1"/>
    <col min="12012" max="12012" width="20.28515625" style="48" customWidth="1"/>
    <col min="12013" max="12013" width="9.140625" style="48" customWidth="1"/>
    <col min="12014" max="12016" width="0" style="48" hidden="1" customWidth="1"/>
    <col min="12017" max="12045" width="9.140625" style="48" customWidth="1"/>
    <col min="12046" max="12057" width="0" style="48" hidden="1" customWidth="1"/>
    <col min="12058" max="12257" width="9.140625" style="48" customWidth="1"/>
    <col min="12258" max="12258" width="3.5703125" style="48" customWidth="1"/>
    <col min="12259" max="12259" width="55.85546875" style="48" customWidth="1"/>
    <col min="12260" max="12261" width="7.7109375" style="48"/>
    <col min="12262" max="12262" width="3.5703125" style="48" customWidth="1"/>
    <col min="12263" max="12263" width="55.85546875" style="48" customWidth="1"/>
    <col min="12264" max="12265" width="11.42578125" style="48" customWidth="1"/>
    <col min="12266" max="12266" width="9.140625" style="48" customWidth="1"/>
    <col min="12267" max="12267" width="4.28515625" style="48" bestFit="1" customWidth="1"/>
    <col min="12268" max="12268" width="20.28515625" style="48" customWidth="1"/>
    <col min="12269" max="12269" width="9.140625" style="48" customWidth="1"/>
    <col min="12270" max="12272" width="0" style="48" hidden="1" customWidth="1"/>
    <col min="12273" max="12301" width="9.140625" style="48" customWidth="1"/>
    <col min="12302" max="12313" width="0" style="48" hidden="1" customWidth="1"/>
    <col min="12314" max="12513" width="9.140625" style="48" customWidth="1"/>
    <col min="12514" max="12514" width="3.5703125" style="48" customWidth="1"/>
    <col min="12515" max="12515" width="55.85546875" style="48" customWidth="1"/>
    <col min="12516" max="12517" width="7.7109375" style="48"/>
    <col min="12518" max="12518" width="3.5703125" style="48" customWidth="1"/>
    <col min="12519" max="12519" width="55.85546875" style="48" customWidth="1"/>
    <col min="12520" max="12521" width="11.42578125" style="48" customWidth="1"/>
    <col min="12522" max="12522" width="9.140625" style="48" customWidth="1"/>
    <col min="12523" max="12523" width="4.28515625" style="48" bestFit="1" customWidth="1"/>
    <col min="12524" max="12524" width="20.28515625" style="48" customWidth="1"/>
    <col min="12525" max="12525" width="9.140625" style="48" customWidth="1"/>
    <col min="12526" max="12528" width="0" style="48" hidden="1" customWidth="1"/>
    <col min="12529" max="12557" width="9.140625" style="48" customWidth="1"/>
    <col min="12558" max="12569" width="0" style="48" hidden="1" customWidth="1"/>
    <col min="12570" max="12769" width="9.140625" style="48" customWidth="1"/>
    <col min="12770" max="12770" width="3.5703125" style="48" customWidth="1"/>
    <col min="12771" max="12771" width="55.85546875" style="48" customWidth="1"/>
    <col min="12772" max="12773" width="7.7109375" style="48"/>
    <col min="12774" max="12774" width="3.5703125" style="48" customWidth="1"/>
    <col min="12775" max="12775" width="55.85546875" style="48" customWidth="1"/>
    <col min="12776" max="12777" width="11.42578125" style="48" customWidth="1"/>
    <col min="12778" max="12778" width="9.140625" style="48" customWidth="1"/>
    <col min="12779" max="12779" width="4.28515625" style="48" bestFit="1" customWidth="1"/>
    <col min="12780" max="12780" width="20.28515625" style="48" customWidth="1"/>
    <col min="12781" max="12781" width="9.140625" style="48" customWidth="1"/>
    <col min="12782" max="12784" width="0" style="48" hidden="1" customWidth="1"/>
    <col min="12785" max="12813" width="9.140625" style="48" customWidth="1"/>
    <col min="12814" max="12825" width="0" style="48" hidden="1" customWidth="1"/>
    <col min="12826" max="13025" width="9.140625" style="48" customWidth="1"/>
    <col min="13026" max="13026" width="3.5703125" style="48" customWidth="1"/>
    <col min="13027" max="13027" width="55.85546875" style="48" customWidth="1"/>
    <col min="13028" max="13029" width="7.7109375" style="48"/>
    <col min="13030" max="13030" width="3.5703125" style="48" customWidth="1"/>
    <col min="13031" max="13031" width="55.85546875" style="48" customWidth="1"/>
    <col min="13032" max="13033" width="11.42578125" style="48" customWidth="1"/>
    <col min="13034" max="13034" width="9.140625" style="48" customWidth="1"/>
    <col min="13035" max="13035" width="4.28515625" style="48" bestFit="1" customWidth="1"/>
    <col min="13036" max="13036" width="20.28515625" style="48" customWidth="1"/>
    <col min="13037" max="13037" width="9.140625" style="48" customWidth="1"/>
    <col min="13038" max="13040" width="0" style="48" hidden="1" customWidth="1"/>
    <col min="13041" max="13069" width="9.140625" style="48" customWidth="1"/>
    <col min="13070" max="13081" width="0" style="48" hidden="1" customWidth="1"/>
    <col min="13082" max="13281" width="9.140625" style="48" customWidth="1"/>
    <col min="13282" max="13282" width="3.5703125" style="48" customWidth="1"/>
    <col min="13283" max="13283" width="55.85546875" style="48" customWidth="1"/>
    <col min="13284" max="13285" width="7.7109375" style="48"/>
    <col min="13286" max="13286" width="3.5703125" style="48" customWidth="1"/>
    <col min="13287" max="13287" width="55.85546875" style="48" customWidth="1"/>
    <col min="13288" max="13289" width="11.42578125" style="48" customWidth="1"/>
    <col min="13290" max="13290" width="9.140625" style="48" customWidth="1"/>
    <col min="13291" max="13291" width="4.28515625" style="48" bestFit="1" customWidth="1"/>
    <col min="13292" max="13292" width="20.28515625" style="48" customWidth="1"/>
    <col min="13293" max="13293" width="9.140625" style="48" customWidth="1"/>
    <col min="13294" max="13296" width="0" style="48" hidden="1" customWidth="1"/>
    <col min="13297" max="13325" width="9.140625" style="48" customWidth="1"/>
    <col min="13326" max="13337" width="0" style="48" hidden="1" customWidth="1"/>
    <col min="13338" max="13537" width="9.140625" style="48" customWidth="1"/>
    <col min="13538" max="13538" width="3.5703125" style="48" customWidth="1"/>
    <col min="13539" max="13539" width="55.85546875" style="48" customWidth="1"/>
    <col min="13540" max="13541" width="7.7109375" style="48"/>
    <col min="13542" max="13542" width="3.5703125" style="48" customWidth="1"/>
    <col min="13543" max="13543" width="55.85546875" style="48" customWidth="1"/>
    <col min="13544" max="13545" width="11.42578125" style="48" customWidth="1"/>
    <col min="13546" max="13546" width="9.140625" style="48" customWidth="1"/>
    <col min="13547" max="13547" width="4.28515625" style="48" bestFit="1" customWidth="1"/>
    <col min="13548" max="13548" width="20.28515625" style="48" customWidth="1"/>
    <col min="13549" max="13549" width="9.140625" style="48" customWidth="1"/>
    <col min="13550" max="13552" width="0" style="48" hidden="1" customWidth="1"/>
    <col min="13553" max="13581" width="9.140625" style="48" customWidth="1"/>
    <col min="13582" max="13593" width="0" style="48" hidden="1" customWidth="1"/>
    <col min="13594" max="13793" width="9.140625" style="48" customWidth="1"/>
    <col min="13794" max="13794" width="3.5703125" style="48" customWidth="1"/>
    <col min="13795" max="13795" width="55.85546875" style="48" customWidth="1"/>
    <col min="13796" max="13797" width="7.7109375" style="48"/>
    <col min="13798" max="13798" width="3.5703125" style="48" customWidth="1"/>
    <col min="13799" max="13799" width="55.85546875" style="48" customWidth="1"/>
    <col min="13800" max="13801" width="11.42578125" style="48" customWidth="1"/>
    <col min="13802" max="13802" width="9.140625" style="48" customWidth="1"/>
    <col min="13803" max="13803" width="4.28515625" style="48" bestFit="1" customWidth="1"/>
    <col min="13804" max="13804" width="20.28515625" style="48" customWidth="1"/>
    <col min="13805" max="13805" width="9.140625" style="48" customWidth="1"/>
    <col min="13806" max="13808" width="0" style="48" hidden="1" customWidth="1"/>
    <col min="13809" max="13837" width="9.140625" style="48" customWidth="1"/>
    <col min="13838" max="13849" width="0" style="48" hidden="1" customWidth="1"/>
    <col min="13850" max="14049" width="9.140625" style="48" customWidth="1"/>
    <col min="14050" max="14050" width="3.5703125" style="48" customWidth="1"/>
    <col min="14051" max="14051" width="55.85546875" style="48" customWidth="1"/>
    <col min="14052" max="14053" width="7.7109375" style="48"/>
    <col min="14054" max="14054" width="3.5703125" style="48" customWidth="1"/>
    <col min="14055" max="14055" width="55.85546875" style="48" customWidth="1"/>
    <col min="14056" max="14057" width="11.42578125" style="48" customWidth="1"/>
    <col min="14058" max="14058" width="9.140625" style="48" customWidth="1"/>
    <col min="14059" max="14059" width="4.28515625" style="48" bestFit="1" customWidth="1"/>
    <col min="14060" max="14060" width="20.28515625" style="48" customWidth="1"/>
    <col min="14061" max="14061" width="9.140625" style="48" customWidth="1"/>
    <col min="14062" max="14064" width="0" style="48" hidden="1" customWidth="1"/>
    <col min="14065" max="14093" width="9.140625" style="48" customWidth="1"/>
    <col min="14094" max="14105" width="0" style="48" hidden="1" customWidth="1"/>
    <col min="14106" max="14305" width="9.140625" style="48" customWidth="1"/>
    <col min="14306" max="14306" width="3.5703125" style="48" customWidth="1"/>
    <col min="14307" max="14307" width="55.85546875" style="48" customWidth="1"/>
    <col min="14308" max="14309" width="7.7109375" style="48"/>
    <col min="14310" max="14310" width="3.5703125" style="48" customWidth="1"/>
    <col min="14311" max="14311" width="55.85546875" style="48" customWidth="1"/>
    <col min="14312" max="14313" width="11.42578125" style="48" customWidth="1"/>
    <col min="14314" max="14314" width="9.140625" style="48" customWidth="1"/>
    <col min="14315" max="14315" width="4.28515625" style="48" bestFit="1" customWidth="1"/>
    <col min="14316" max="14316" width="20.28515625" style="48" customWidth="1"/>
    <col min="14317" max="14317" width="9.140625" style="48" customWidth="1"/>
    <col min="14318" max="14320" width="0" style="48" hidden="1" customWidth="1"/>
    <col min="14321" max="14349" width="9.140625" style="48" customWidth="1"/>
    <col min="14350" max="14361" width="0" style="48" hidden="1" customWidth="1"/>
    <col min="14362" max="14561" width="9.140625" style="48" customWidth="1"/>
    <col min="14562" max="14562" width="3.5703125" style="48" customWidth="1"/>
    <col min="14563" max="14563" width="55.85546875" style="48" customWidth="1"/>
    <col min="14564" max="14565" width="7.7109375" style="48"/>
    <col min="14566" max="14566" width="3.5703125" style="48" customWidth="1"/>
    <col min="14567" max="14567" width="55.85546875" style="48" customWidth="1"/>
    <col min="14568" max="14569" width="11.42578125" style="48" customWidth="1"/>
    <col min="14570" max="14570" width="9.140625" style="48" customWidth="1"/>
    <col min="14571" max="14571" width="4.28515625" style="48" bestFit="1" customWidth="1"/>
    <col min="14572" max="14572" width="20.28515625" style="48" customWidth="1"/>
    <col min="14573" max="14573" width="9.140625" style="48" customWidth="1"/>
    <col min="14574" max="14576" width="0" style="48" hidden="1" customWidth="1"/>
    <col min="14577" max="14605" width="9.140625" style="48" customWidth="1"/>
    <col min="14606" max="14617" width="0" style="48" hidden="1" customWidth="1"/>
    <col min="14618" max="14817" width="9.140625" style="48" customWidth="1"/>
    <col min="14818" max="14818" width="3.5703125" style="48" customWidth="1"/>
    <col min="14819" max="14819" width="55.85546875" style="48" customWidth="1"/>
    <col min="14820" max="14821" width="7.7109375" style="48"/>
    <col min="14822" max="14822" width="3.5703125" style="48" customWidth="1"/>
    <col min="14823" max="14823" width="55.85546875" style="48" customWidth="1"/>
    <col min="14824" max="14825" width="11.42578125" style="48" customWidth="1"/>
    <col min="14826" max="14826" width="9.140625" style="48" customWidth="1"/>
    <col min="14827" max="14827" width="4.28515625" style="48" bestFit="1" customWidth="1"/>
    <col min="14828" max="14828" width="20.28515625" style="48" customWidth="1"/>
    <col min="14829" max="14829" width="9.140625" style="48" customWidth="1"/>
    <col min="14830" max="14832" width="0" style="48" hidden="1" customWidth="1"/>
    <col min="14833" max="14861" width="9.140625" style="48" customWidth="1"/>
    <col min="14862" max="14873" width="0" style="48" hidden="1" customWidth="1"/>
    <col min="14874" max="15073" width="9.140625" style="48" customWidth="1"/>
    <col min="15074" max="15074" width="3.5703125" style="48" customWidth="1"/>
    <col min="15075" max="15075" width="55.85546875" style="48" customWidth="1"/>
    <col min="15076" max="15077" width="7.7109375" style="48"/>
    <col min="15078" max="15078" width="3.5703125" style="48" customWidth="1"/>
    <col min="15079" max="15079" width="55.85546875" style="48" customWidth="1"/>
    <col min="15080" max="15081" width="11.42578125" style="48" customWidth="1"/>
    <col min="15082" max="15082" width="9.140625" style="48" customWidth="1"/>
    <col min="15083" max="15083" width="4.28515625" style="48" bestFit="1" customWidth="1"/>
    <col min="15084" max="15084" width="20.28515625" style="48" customWidth="1"/>
    <col min="15085" max="15085" width="9.140625" style="48" customWidth="1"/>
    <col min="15086" max="15088" width="0" style="48" hidden="1" customWidth="1"/>
    <col min="15089" max="15117" width="9.140625" style="48" customWidth="1"/>
    <col min="15118" max="15129" width="0" style="48" hidden="1" customWidth="1"/>
    <col min="15130" max="15329" width="9.140625" style="48" customWidth="1"/>
    <col min="15330" max="15330" width="3.5703125" style="48" customWidth="1"/>
    <col min="15331" max="15331" width="55.85546875" style="48" customWidth="1"/>
    <col min="15332" max="15333" width="7.7109375" style="48"/>
    <col min="15334" max="15334" width="3.5703125" style="48" customWidth="1"/>
    <col min="15335" max="15335" width="55.85546875" style="48" customWidth="1"/>
    <col min="15336" max="15337" width="11.42578125" style="48" customWidth="1"/>
    <col min="15338" max="15338" width="9.140625" style="48" customWidth="1"/>
    <col min="15339" max="15339" width="4.28515625" style="48" bestFit="1" customWidth="1"/>
    <col min="15340" max="15340" width="20.28515625" style="48" customWidth="1"/>
    <col min="15341" max="15341" width="9.140625" style="48" customWidth="1"/>
    <col min="15342" max="15344" width="0" style="48" hidden="1" customWidth="1"/>
    <col min="15345" max="15373" width="9.140625" style="48" customWidth="1"/>
    <col min="15374" max="15385" width="0" style="48" hidden="1" customWidth="1"/>
    <col min="15386" max="15585" width="9.140625" style="48" customWidth="1"/>
    <col min="15586" max="15586" width="3.5703125" style="48" customWidth="1"/>
    <col min="15587" max="15587" width="55.85546875" style="48" customWidth="1"/>
    <col min="15588" max="15589" width="7.7109375" style="48"/>
    <col min="15590" max="15590" width="3.5703125" style="48" customWidth="1"/>
    <col min="15591" max="15591" width="55.85546875" style="48" customWidth="1"/>
    <col min="15592" max="15593" width="11.42578125" style="48" customWidth="1"/>
    <col min="15594" max="15594" width="9.140625" style="48" customWidth="1"/>
    <col min="15595" max="15595" width="4.28515625" style="48" bestFit="1" customWidth="1"/>
    <col min="15596" max="15596" width="20.28515625" style="48" customWidth="1"/>
    <col min="15597" max="15597" width="9.140625" style="48" customWidth="1"/>
    <col min="15598" max="15600" width="0" style="48" hidden="1" customWidth="1"/>
    <col min="15601" max="15629" width="9.140625" style="48" customWidth="1"/>
    <col min="15630" max="15641" width="0" style="48" hidden="1" customWidth="1"/>
    <col min="15642" max="15841" width="9.140625" style="48" customWidth="1"/>
    <col min="15842" max="15842" width="3.5703125" style="48" customWidth="1"/>
    <col min="15843" max="15843" width="55.85546875" style="48" customWidth="1"/>
    <col min="15844" max="15845" width="7.7109375" style="48"/>
    <col min="15846" max="15846" width="3.5703125" style="48" customWidth="1"/>
    <col min="15847" max="15847" width="55.85546875" style="48" customWidth="1"/>
    <col min="15848" max="15849" width="11.42578125" style="48" customWidth="1"/>
    <col min="15850" max="15850" width="9.140625" style="48" customWidth="1"/>
    <col min="15851" max="15851" width="4.28515625" style="48" bestFit="1" customWidth="1"/>
    <col min="15852" max="15852" width="20.28515625" style="48" customWidth="1"/>
    <col min="15853" max="15853" width="9.140625" style="48" customWidth="1"/>
    <col min="15854" max="15856" width="0" style="48" hidden="1" customWidth="1"/>
    <col min="15857" max="15885" width="9.140625" style="48" customWidth="1"/>
    <col min="15886" max="15897" width="0" style="48" hidden="1" customWidth="1"/>
    <col min="15898" max="16097" width="9.140625" style="48" customWidth="1"/>
    <col min="16098" max="16098" width="3.5703125" style="48" customWidth="1"/>
    <col min="16099" max="16099" width="55.85546875" style="48" customWidth="1"/>
    <col min="16100" max="16101" width="7.7109375" style="48"/>
    <col min="16102" max="16102" width="3.5703125" style="48" customWidth="1"/>
    <col min="16103" max="16103" width="55.85546875" style="48" customWidth="1"/>
    <col min="16104" max="16105" width="11.42578125" style="48" customWidth="1"/>
    <col min="16106" max="16106" width="9.140625" style="48" customWidth="1"/>
    <col min="16107" max="16107" width="4.28515625" style="48" bestFit="1" customWidth="1"/>
    <col min="16108" max="16108" width="20.28515625" style="48" customWidth="1"/>
    <col min="16109" max="16109" width="9.140625" style="48" customWidth="1"/>
    <col min="16110" max="16112" width="0" style="48" hidden="1" customWidth="1"/>
    <col min="16113" max="16141" width="9.140625" style="48" customWidth="1"/>
    <col min="16142" max="16153" width="0" style="48" hidden="1" customWidth="1"/>
    <col min="16154" max="16353" width="9.140625" style="48" customWidth="1"/>
    <col min="16354" max="16354" width="3.5703125" style="48" customWidth="1"/>
    <col min="16355" max="16355" width="55.85546875" style="48" customWidth="1"/>
    <col min="16356" max="16384" width="7.7109375" style="48"/>
  </cols>
  <sheetData>
    <row r="1" spans="1:32" s="40" customFormat="1" ht="20.100000000000001" customHeight="1">
      <c r="A1" s="36" t="s">
        <v>190</v>
      </c>
      <c r="B1" s="37"/>
      <c r="C1" s="38" t="s">
        <v>191</v>
      </c>
      <c r="D1" s="39" t="s">
        <v>221</v>
      </c>
      <c r="F1" s="36" t="s">
        <v>190</v>
      </c>
      <c r="G1" s="37"/>
      <c r="H1" s="38" t="s">
        <v>191</v>
      </c>
      <c r="I1" s="39" t="s">
        <v>221</v>
      </c>
    </row>
    <row r="2" spans="1:32" s="40" customFormat="1" ht="20.100000000000001" customHeight="1">
      <c r="A2" s="41" t="s">
        <v>193</v>
      </c>
      <c r="B2" s="42"/>
      <c r="C2" s="42"/>
      <c r="D2" s="43"/>
      <c r="F2" s="41" t="s">
        <v>193</v>
      </c>
      <c r="G2" s="42"/>
      <c r="H2" s="42"/>
      <c r="I2" s="43"/>
    </row>
    <row r="3" spans="1:32" s="40" customFormat="1" ht="20.100000000000001" customHeight="1">
      <c r="A3" s="106" t="s">
        <v>222</v>
      </c>
      <c r="B3" s="106"/>
      <c r="C3" s="106"/>
      <c r="D3" s="106"/>
      <c r="F3" s="106" t="s">
        <v>223</v>
      </c>
      <c r="G3" s="106"/>
      <c r="H3" s="106"/>
      <c r="I3" s="106"/>
      <c r="AB3" s="65"/>
    </row>
    <row r="4" spans="1:32" s="40" customFormat="1" ht="20.100000000000001" customHeight="1">
      <c r="A4" s="107" t="s">
        <v>224</v>
      </c>
      <c r="B4" s="108"/>
      <c r="C4" s="108"/>
      <c r="D4" s="109"/>
      <c r="F4" s="107" t="s">
        <v>225</v>
      </c>
      <c r="G4" s="108"/>
      <c r="H4" s="108"/>
      <c r="I4" s="109"/>
      <c r="AB4" s="75"/>
      <c r="AC4" s="74" t="s">
        <v>226</v>
      </c>
      <c r="AD4" s="67"/>
      <c r="AE4" s="68" t="s">
        <v>227</v>
      </c>
      <c r="AF4" s="68" t="s">
        <v>202</v>
      </c>
    </row>
    <row r="5" spans="1:32" s="40" customFormat="1" ht="20.100000000000001" customHeight="1">
      <c r="A5" s="110" t="s">
        <v>228</v>
      </c>
      <c r="B5" s="110" t="s">
        <v>3</v>
      </c>
      <c r="C5" s="110" t="s">
        <v>195</v>
      </c>
      <c r="D5" s="112" t="s">
        <v>229</v>
      </c>
      <c r="F5" s="110" t="s">
        <v>228</v>
      </c>
      <c r="G5" s="110" t="s">
        <v>3</v>
      </c>
      <c r="H5" s="110" t="s">
        <v>195</v>
      </c>
      <c r="I5" s="112" t="s">
        <v>229</v>
      </c>
      <c r="AB5" s="46"/>
      <c r="AC5" s="69">
        <v>3401</v>
      </c>
      <c r="AD5" s="105" t="s">
        <v>230</v>
      </c>
      <c r="AE5" s="67">
        <v>28</v>
      </c>
      <c r="AF5" s="67">
        <v>60</v>
      </c>
    </row>
    <row r="6" spans="1:32" s="40" customFormat="1" ht="20.100000000000001" customHeight="1">
      <c r="A6" s="111"/>
      <c r="B6" s="111"/>
      <c r="C6" s="111"/>
      <c r="D6" s="111"/>
      <c r="F6" s="111"/>
      <c r="G6" s="111"/>
      <c r="H6" s="111"/>
      <c r="I6" s="111"/>
      <c r="AB6" s="76"/>
      <c r="AC6" s="69">
        <v>3402</v>
      </c>
      <c r="AD6" s="105"/>
      <c r="AE6" s="67">
        <v>28</v>
      </c>
      <c r="AF6" s="67">
        <v>60</v>
      </c>
    </row>
    <row r="7" spans="1:32" s="40" customFormat="1" ht="20.100000000000001" customHeight="1">
      <c r="A7" s="44">
        <v>1</v>
      </c>
      <c r="B7" s="9" t="s">
        <v>231</v>
      </c>
      <c r="C7" s="44" t="s">
        <v>232</v>
      </c>
      <c r="D7" s="45">
        <v>16</v>
      </c>
      <c r="F7" s="44">
        <v>1</v>
      </c>
      <c r="G7" s="9" t="s">
        <v>233</v>
      </c>
      <c r="H7" s="44" t="s">
        <v>232</v>
      </c>
      <c r="I7" s="45">
        <v>22</v>
      </c>
      <c r="AB7" s="76"/>
      <c r="AC7" s="69">
        <v>3403</v>
      </c>
      <c r="AD7" s="105"/>
      <c r="AE7" s="67">
        <v>28</v>
      </c>
      <c r="AF7" s="67">
        <v>60</v>
      </c>
    </row>
    <row r="8" spans="1:32" s="40" customFormat="1" ht="20.100000000000001" customHeight="1">
      <c r="A8" s="44">
        <v>2</v>
      </c>
      <c r="B8" s="9" t="s">
        <v>234</v>
      </c>
      <c r="C8" s="44" t="s">
        <v>232</v>
      </c>
      <c r="D8" s="45">
        <v>18</v>
      </c>
      <c r="F8" s="44">
        <v>2</v>
      </c>
      <c r="G8" s="9" t="s">
        <v>235</v>
      </c>
      <c r="H8" s="44" t="s">
        <v>232</v>
      </c>
      <c r="I8" s="45">
        <v>25</v>
      </c>
      <c r="K8" s="67"/>
      <c r="L8" s="68" t="s">
        <v>236</v>
      </c>
      <c r="M8" s="67"/>
      <c r="AB8" s="76"/>
      <c r="AC8" s="69">
        <v>3404</v>
      </c>
      <c r="AD8" s="105"/>
      <c r="AE8" s="67">
        <v>28</v>
      </c>
      <c r="AF8" s="67">
        <v>60</v>
      </c>
    </row>
    <row r="9" spans="1:32" s="40" customFormat="1" ht="20.100000000000001" customHeight="1">
      <c r="A9" s="44">
        <v>3</v>
      </c>
      <c r="B9" s="73" t="s">
        <v>235</v>
      </c>
      <c r="C9" s="44" t="s">
        <v>232</v>
      </c>
      <c r="D9" s="45">
        <v>22</v>
      </c>
      <c r="F9" s="44">
        <v>3</v>
      </c>
      <c r="G9" s="9" t="s">
        <v>237</v>
      </c>
      <c r="H9" s="44" t="s">
        <v>232</v>
      </c>
      <c r="I9" s="45">
        <v>37</v>
      </c>
      <c r="K9" s="67"/>
      <c r="L9" s="68" t="s">
        <v>238</v>
      </c>
      <c r="M9" s="67"/>
      <c r="AB9" s="76"/>
      <c r="AC9" s="69">
        <v>3405</v>
      </c>
      <c r="AD9" s="105"/>
      <c r="AE9" s="67">
        <v>28</v>
      </c>
      <c r="AF9" s="67">
        <v>60</v>
      </c>
    </row>
    <row r="10" spans="1:32" s="40" customFormat="1" ht="20.100000000000001" customHeight="1">
      <c r="A10" s="44">
        <v>4</v>
      </c>
      <c r="B10" s="9" t="s">
        <v>239</v>
      </c>
      <c r="C10" s="44" t="s">
        <v>232</v>
      </c>
      <c r="D10" s="45">
        <v>13</v>
      </c>
      <c r="F10" s="44">
        <v>4</v>
      </c>
      <c r="G10" s="9" t="s">
        <v>240</v>
      </c>
      <c r="H10" s="44" t="s">
        <v>232</v>
      </c>
      <c r="I10" s="45">
        <v>37</v>
      </c>
      <c r="K10" s="67"/>
      <c r="L10" s="68" t="s">
        <v>241</v>
      </c>
      <c r="M10" s="67"/>
      <c r="AB10" s="76"/>
      <c r="AC10" s="69">
        <v>3406</v>
      </c>
      <c r="AD10" s="105" t="s">
        <v>242</v>
      </c>
      <c r="AE10" s="67">
        <v>22</v>
      </c>
      <c r="AF10" s="67">
        <v>42</v>
      </c>
    </row>
    <row r="11" spans="1:32" s="40" customFormat="1" ht="20.100000000000001" customHeight="1">
      <c r="A11" s="44">
        <v>5</v>
      </c>
      <c r="B11" s="9" t="s">
        <v>243</v>
      </c>
      <c r="C11" s="44" t="s">
        <v>232</v>
      </c>
      <c r="D11" s="45">
        <v>25</v>
      </c>
      <c r="F11" s="44">
        <v>5</v>
      </c>
      <c r="G11" s="9" t="s">
        <v>239</v>
      </c>
      <c r="H11" s="44" t="s">
        <v>232</v>
      </c>
      <c r="I11" s="45">
        <v>17</v>
      </c>
      <c r="AB11" s="76"/>
      <c r="AC11" s="69">
        <v>3407</v>
      </c>
      <c r="AD11" s="105"/>
      <c r="AE11" s="67">
        <v>22</v>
      </c>
      <c r="AF11" s="67">
        <v>42</v>
      </c>
    </row>
    <row r="12" spans="1:32" s="40" customFormat="1" ht="20.100000000000001" customHeight="1">
      <c r="A12" s="44">
        <v>6</v>
      </c>
      <c r="B12" s="73" t="s">
        <v>244</v>
      </c>
      <c r="C12" s="44" t="s">
        <v>232</v>
      </c>
      <c r="D12" s="45">
        <v>30</v>
      </c>
      <c r="F12" s="44">
        <v>6</v>
      </c>
      <c r="G12" s="9" t="s">
        <v>245</v>
      </c>
      <c r="H12" s="44" t="s">
        <v>232</v>
      </c>
      <c r="I12" s="45">
        <v>30</v>
      </c>
      <c r="AB12" s="76"/>
      <c r="AC12" s="69">
        <v>3408</v>
      </c>
      <c r="AD12" s="105"/>
      <c r="AE12" s="67">
        <v>22</v>
      </c>
      <c r="AF12" s="67">
        <v>42</v>
      </c>
    </row>
    <row r="13" spans="1:32" s="40" customFormat="1" ht="20.100000000000001" customHeight="1">
      <c r="A13" s="44">
        <v>7</v>
      </c>
      <c r="B13" s="9" t="s">
        <v>246</v>
      </c>
      <c r="C13" s="44" t="s">
        <v>232</v>
      </c>
      <c r="D13" s="45">
        <v>22</v>
      </c>
      <c r="F13" s="44">
        <v>7</v>
      </c>
      <c r="G13" s="9" t="s">
        <v>247</v>
      </c>
      <c r="H13" s="44" t="s">
        <v>232</v>
      </c>
      <c r="I13" s="45">
        <v>60</v>
      </c>
      <c r="AB13" s="76"/>
      <c r="AC13" s="69">
        <v>3409</v>
      </c>
      <c r="AD13" s="105"/>
      <c r="AE13" s="67">
        <v>22</v>
      </c>
      <c r="AF13" s="67">
        <v>42</v>
      </c>
    </row>
    <row r="14" spans="1:32" s="40" customFormat="1" ht="20.100000000000001" customHeight="1">
      <c r="A14" s="44">
        <v>8</v>
      </c>
      <c r="B14" s="9" t="s">
        <v>247</v>
      </c>
      <c r="C14" s="44" t="s">
        <v>232</v>
      </c>
      <c r="D14" s="45">
        <v>42</v>
      </c>
      <c r="AB14" s="76"/>
      <c r="AC14" s="69">
        <v>3410</v>
      </c>
      <c r="AD14" s="105"/>
      <c r="AE14" s="67">
        <v>22</v>
      </c>
      <c r="AF14" s="67">
        <v>42</v>
      </c>
    </row>
    <row r="15" spans="1:32" s="40" customFormat="1" ht="30" customHeight="1">
      <c r="A15" s="46"/>
      <c r="B15" s="47"/>
      <c r="C15" s="47"/>
      <c r="D15" s="47"/>
      <c r="AB15" s="76"/>
      <c r="AC15" s="69">
        <v>3411</v>
      </c>
      <c r="AD15" s="105"/>
      <c r="AE15" s="67">
        <v>22</v>
      </c>
      <c r="AF15" s="67">
        <v>42</v>
      </c>
    </row>
    <row r="16" spans="1:32" s="40" customFormat="1" ht="30" customHeight="1">
      <c r="A16" s="46"/>
      <c r="B16" s="70" t="s">
        <v>248</v>
      </c>
      <c r="C16" s="71"/>
      <c r="D16" s="47"/>
      <c r="G16" s="65"/>
    </row>
    <row r="17" spans="1:9" s="40" customFormat="1" ht="30" customHeight="1">
      <c r="A17" s="46"/>
      <c r="B17" s="70" t="s">
        <v>249</v>
      </c>
      <c r="C17" s="72"/>
      <c r="D17" s="47"/>
      <c r="G17" s="65"/>
    </row>
    <row r="18" spans="1:9" s="40" customFormat="1" ht="30" customHeight="1">
      <c r="A18" s="46"/>
      <c r="B18" s="47"/>
      <c r="C18" s="47"/>
      <c r="D18" s="47"/>
      <c r="G18" s="65"/>
    </row>
    <row r="19" spans="1:9" s="40" customFormat="1" ht="30" customHeight="1">
      <c r="A19" s="46"/>
      <c r="B19" s="47"/>
      <c r="C19" s="47"/>
      <c r="D19" s="47" t="s">
        <v>2</v>
      </c>
      <c r="F19" s="40" t="s">
        <v>201</v>
      </c>
      <c r="G19" s="40" t="s">
        <v>202</v>
      </c>
    </row>
    <row r="20" spans="1:9" s="40" customFormat="1" ht="30" customHeight="1">
      <c r="A20" s="46"/>
      <c r="B20" s="47"/>
      <c r="C20" s="47"/>
      <c r="D20" s="47" t="s">
        <v>250</v>
      </c>
      <c r="E20" s="47"/>
      <c r="F20" s="40">
        <v>22</v>
      </c>
      <c r="G20" s="40">
        <v>42</v>
      </c>
      <c r="H20" s="40">
        <v>3</v>
      </c>
      <c r="I20" s="40">
        <v>665</v>
      </c>
    </row>
    <row r="21" spans="1:9" s="40" customFormat="1" ht="30" customHeight="1">
      <c r="A21" s="46"/>
      <c r="B21" s="47"/>
      <c r="C21" s="47"/>
      <c r="D21" s="47" t="s">
        <v>251</v>
      </c>
      <c r="F21" s="40">
        <v>22</v>
      </c>
      <c r="G21" s="40">
        <v>42</v>
      </c>
      <c r="H21" s="40">
        <v>3</v>
      </c>
      <c r="I21" s="40">
        <v>665</v>
      </c>
    </row>
    <row r="22" spans="1:9" s="40" customFormat="1" ht="30" customHeight="1">
      <c r="A22" s="46"/>
      <c r="B22" s="47"/>
      <c r="C22" s="47"/>
      <c r="D22" s="47" t="s">
        <v>230</v>
      </c>
      <c r="F22" s="40">
        <v>28</v>
      </c>
      <c r="G22" s="40">
        <v>60</v>
      </c>
      <c r="H22" s="40">
        <v>3</v>
      </c>
      <c r="I22" s="40">
        <v>665</v>
      </c>
    </row>
    <row r="23" spans="1:9" s="40" customFormat="1" ht="30" customHeight="1">
      <c r="A23" s="46"/>
      <c r="B23" s="47"/>
      <c r="C23" s="47"/>
      <c r="D23" s="47"/>
    </row>
    <row r="24" spans="1:9" s="40" customFormat="1" ht="30" customHeight="1">
      <c r="A24" s="46"/>
      <c r="B24" s="47"/>
      <c r="C24" s="47"/>
      <c r="D24" s="47"/>
    </row>
    <row r="25" spans="1:9" s="40" customFormat="1" ht="30" customHeight="1">
      <c r="A25" s="46"/>
      <c r="B25" s="47"/>
      <c r="C25" s="47"/>
      <c r="D25" s="47"/>
    </row>
    <row r="26" spans="1:9" s="40" customFormat="1" ht="30" customHeight="1">
      <c r="A26" s="46"/>
      <c r="B26" s="47"/>
      <c r="C26" s="47"/>
      <c r="D26" s="47"/>
    </row>
    <row r="27" spans="1:9" s="40" customFormat="1" ht="30" customHeight="1">
      <c r="A27" s="46"/>
      <c r="B27" s="47"/>
      <c r="C27" s="47"/>
      <c r="D27" s="47"/>
    </row>
    <row r="28" spans="1:9" s="40" customFormat="1" ht="30" customHeight="1">
      <c r="A28" s="46"/>
      <c r="B28" s="47"/>
      <c r="C28" s="47"/>
      <c r="D28" s="47"/>
    </row>
    <row r="29" spans="1:9" s="40" customFormat="1" ht="30" customHeight="1">
      <c r="A29" s="46"/>
      <c r="B29" s="47"/>
      <c r="C29" s="47"/>
      <c r="D29" s="47"/>
    </row>
    <row r="30" spans="1:9" s="40" customFormat="1" ht="30" customHeight="1">
      <c r="A30" s="46"/>
      <c r="B30" s="47"/>
      <c r="C30" s="47"/>
      <c r="D30" s="47"/>
    </row>
    <row r="31" spans="1:9" s="40" customFormat="1" ht="30" customHeight="1">
      <c r="A31" s="46"/>
      <c r="B31" s="47"/>
      <c r="C31" s="47"/>
      <c r="D31" s="47"/>
    </row>
    <row r="32" spans="1:9" s="40" customFormat="1" ht="30" customHeight="1">
      <c r="A32" s="46"/>
      <c r="B32" s="47"/>
      <c r="C32" s="47"/>
      <c r="D32" s="47"/>
    </row>
    <row r="33" spans="1:4" s="40" customFormat="1" ht="30" customHeight="1">
      <c r="A33" s="46"/>
      <c r="B33" s="47"/>
      <c r="C33" s="47"/>
      <c r="D33" s="47"/>
    </row>
    <row r="34" spans="1:4" s="40" customFormat="1" ht="30" customHeight="1">
      <c r="A34" s="46"/>
      <c r="B34" s="47"/>
      <c r="C34" s="47"/>
      <c r="D34" s="47"/>
    </row>
    <row r="35" spans="1:4" s="40" customFormat="1" ht="30" customHeight="1">
      <c r="A35" s="46"/>
      <c r="B35" s="47"/>
      <c r="C35" s="47"/>
      <c r="D35" s="47"/>
    </row>
    <row r="36" spans="1:4" s="40" customFormat="1" ht="30" customHeight="1">
      <c r="A36" s="46"/>
      <c r="B36" s="47"/>
      <c r="C36" s="47"/>
      <c r="D36" s="47"/>
    </row>
    <row r="37" spans="1:4" s="40" customFormat="1" ht="30" customHeight="1">
      <c r="A37" s="46"/>
      <c r="B37" s="47"/>
      <c r="C37" s="47"/>
      <c r="D37" s="47"/>
    </row>
    <row r="38" spans="1:4" s="40" customFormat="1" ht="30" customHeight="1">
      <c r="A38" s="46"/>
      <c r="B38" s="47"/>
      <c r="C38" s="47"/>
      <c r="D38" s="47"/>
    </row>
    <row r="39" spans="1:4" s="40" customFormat="1" ht="30" customHeight="1">
      <c r="A39" s="46"/>
      <c r="B39" s="47"/>
      <c r="C39" s="47"/>
      <c r="D39" s="47"/>
    </row>
    <row r="40" spans="1:4" s="40" customFormat="1" ht="30" customHeight="1">
      <c r="A40" s="46"/>
      <c r="B40" s="47"/>
      <c r="C40" s="47"/>
      <c r="D40" s="47"/>
    </row>
    <row r="41" spans="1:4" s="40" customFormat="1" ht="30" customHeight="1">
      <c r="A41" s="46"/>
      <c r="B41" s="47"/>
      <c r="C41" s="47"/>
      <c r="D41" s="47"/>
    </row>
    <row r="42" spans="1:4" s="40" customFormat="1" ht="30" customHeight="1">
      <c r="A42" s="46"/>
      <c r="B42" s="47"/>
      <c r="C42" s="47"/>
      <c r="D42" s="47"/>
    </row>
    <row r="43" spans="1:4" s="40" customFormat="1" ht="30" customHeight="1">
      <c r="A43" s="46"/>
      <c r="B43" s="47"/>
      <c r="C43" s="47"/>
      <c r="D43" s="47"/>
    </row>
    <row r="44" spans="1:4" s="40" customFormat="1" ht="30" customHeight="1">
      <c r="A44" s="46"/>
      <c r="B44" s="47"/>
      <c r="C44" s="47"/>
      <c r="D44" s="47"/>
    </row>
    <row r="45" spans="1:4" s="40" customFormat="1" ht="30" customHeight="1">
      <c r="A45" s="46"/>
      <c r="B45" s="47"/>
      <c r="C45" s="47"/>
      <c r="D45" s="47"/>
    </row>
    <row r="46" spans="1:4" s="40" customFormat="1" ht="30" customHeight="1">
      <c r="A46" s="46"/>
      <c r="B46" s="47"/>
      <c r="C46" s="47"/>
      <c r="D46" s="47"/>
    </row>
    <row r="47" spans="1:4" s="40" customFormat="1" ht="30" customHeight="1">
      <c r="A47" s="46"/>
      <c r="B47" s="46"/>
      <c r="C47" s="46"/>
      <c r="D47" s="46"/>
    </row>
    <row r="48" spans="1:4" s="40" customFormat="1" ht="30" customHeight="1">
      <c r="A48" s="46"/>
      <c r="B48" s="46"/>
      <c r="C48" s="46"/>
      <c r="D48" s="46"/>
    </row>
    <row r="49" spans="1:4" s="40" customFormat="1" ht="30" customHeight="1">
      <c r="A49" s="46"/>
      <c r="B49" s="46"/>
      <c r="C49" s="46"/>
      <c r="D49" s="46"/>
    </row>
    <row r="50" spans="1:4" s="40" customFormat="1" ht="30" customHeight="1">
      <c r="A50" s="46"/>
      <c r="B50" s="46"/>
      <c r="C50" s="46"/>
      <c r="D50" s="46"/>
    </row>
    <row r="51" spans="1:4" s="40" customFormat="1" ht="30" customHeight="1">
      <c r="A51" s="46"/>
      <c r="B51" s="46"/>
      <c r="C51" s="46"/>
      <c r="D51" s="46"/>
    </row>
    <row r="52" spans="1:4" s="40" customFormat="1" ht="30" customHeight="1">
      <c r="A52" s="46"/>
      <c r="B52" s="46"/>
      <c r="C52" s="46"/>
      <c r="D52" s="46"/>
    </row>
    <row r="53" spans="1:4" s="40" customFormat="1" ht="30" customHeight="1">
      <c r="A53" s="46"/>
      <c r="B53" s="46"/>
      <c r="C53" s="46"/>
      <c r="D53" s="46"/>
    </row>
    <row r="54" spans="1:4" s="40" customFormat="1" ht="30" customHeight="1">
      <c r="A54" s="46"/>
      <c r="B54" s="46"/>
      <c r="C54" s="46"/>
      <c r="D54" s="46"/>
    </row>
    <row r="55" spans="1:4" s="40" customFormat="1" ht="30" customHeight="1">
      <c r="A55" s="46"/>
      <c r="B55" s="46"/>
      <c r="C55" s="46"/>
      <c r="D55" s="46"/>
    </row>
    <row r="56" spans="1:4" s="40" customFormat="1" ht="30" customHeight="1">
      <c r="A56" s="46"/>
      <c r="B56" s="46"/>
      <c r="C56" s="46"/>
      <c r="D56" s="46"/>
    </row>
    <row r="57" spans="1:4" s="40" customFormat="1" ht="30" customHeight="1">
      <c r="A57" s="46"/>
      <c r="B57" s="46"/>
      <c r="C57" s="46"/>
      <c r="D57" s="46"/>
    </row>
    <row r="58" spans="1:4" s="40" customFormat="1" ht="30" customHeight="1">
      <c r="A58" s="46"/>
      <c r="B58" s="46"/>
      <c r="C58" s="46"/>
      <c r="D58" s="46"/>
    </row>
    <row r="59" spans="1:4" s="40" customFormat="1" ht="30" customHeight="1">
      <c r="A59" s="46"/>
      <c r="B59" s="46"/>
      <c r="C59" s="46"/>
      <c r="D59" s="46"/>
    </row>
    <row r="60" spans="1:4" s="40" customFormat="1" ht="30" customHeight="1">
      <c r="A60" s="46"/>
      <c r="B60" s="46"/>
      <c r="C60" s="46"/>
      <c r="D60" s="46"/>
    </row>
    <row r="61" spans="1:4" s="40" customFormat="1" ht="30" customHeight="1">
      <c r="A61" s="46"/>
      <c r="B61" s="46"/>
      <c r="C61" s="46"/>
      <c r="D61" s="46"/>
    </row>
    <row r="62" spans="1:4" s="40" customFormat="1" ht="30" customHeight="1">
      <c r="A62" s="46"/>
      <c r="B62" s="46"/>
      <c r="C62" s="46"/>
      <c r="D62" s="46"/>
    </row>
    <row r="63" spans="1:4" s="40" customFormat="1" ht="30" customHeight="1">
      <c r="A63" s="46"/>
      <c r="B63" s="46"/>
      <c r="C63" s="46"/>
      <c r="D63" s="46"/>
    </row>
    <row r="64" spans="1:4" s="40" customFormat="1" ht="30" customHeight="1">
      <c r="A64" s="46"/>
      <c r="B64" s="46"/>
      <c r="C64" s="46"/>
      <c r="D64" s="46"/>
    </row>
    <row r="65" spans="1:4" s="40" customFormat="1" ht="30" customHeight="1">
      <c r="A65" s="46"/>
      <c r="B65" s="46"/>
      <c r="C65" s="46"/>
      <c r="D65" s="46"/>
    </row>
    <row r="66" spans="1:4" s="40" customFormat="1" ht="30" customHeight="1">
      <c r="A66" s="46"/>
      <c r="B66" s="46"/>
      <c r="C66" s="46"/>
      <c r="D66" s="46"/>
    </row>
    <row r="67" spans="1:4" s="40" customFormat="1" ht="30" customHeight="1">
      <c r="A67" s="46"/>
      <c r="B67" s="46"/>
      <c r="C67" s="46"/>
      <c r="D67" s="46"/>
    </row>
    <row r="68" spans="1:4" s="40" customFormat="1" ht="30" customHeight="1">
      <c r="A68" s="46"/>
      <c r="B68" s="46"/>
      <c r="C68" s="46"/>
      <c r="D68" s="46"/>
    </row>
    <row r="69" spans="1:4" s="40" customFormat="1" ht="30" customHeight="1">
      <c r="A69" s="46"/>
      <c r="B69" s="46"/>
      <c r="C69" s="46"/>
      <c r="D69" s="46"/>
    </row>
    <row r="70" spans="1:4" s="40" customFormat="1" ht="30" customHeight="1">
      <c r="A70" s="46"/>
      <c r="B70" s="46"/>
      <c r="C70" s="46"/>
      <c r="D70" s="46"/>
    </row>
    <row r="71" spans="1:4" s="40" customFormat="1" ht="30" customHeight="1">
      <c r="A71" s="46"/>
      <c r="B71" s="46"/>
      <c r="C71" s="46"/>
      <c r="D71" s="46"/>
    </row>
    <row r="72" spans="1:4" s="40" customFormat="1" ht="30" customHeight="1">
      <c r="A72" s="46"/>
      <c r="B72" s="46"/>
      <c r="C72" s="46"/>
      <c r="D72" s="46"/>
    </row>
    <row r="73" spans="1:4" s="40" customFormat="1" ht="30" customHeight="1">
      <c r="A73" s="46"/>
      <c r="B73" s="46"/>
      <c r="C73" s="46"/>
      <c r="D73" s="46"/>
    </row>
    <row r="74" spans="1:4" s="40" customFormat="1" ht="30" customHeight="1">
      <c r="A74" s="46"/>
      <c r="B74" s="46"/>
      <c r="C74" s="46"/>
      <c r="D74" s="46"/>
    </row>
    <row r="75" spans="1:4" s="40" customFormat="1" ht="30" customHeight="1">
      <c r="A75" s="46"/>
      <c r="B75" s="46"/>
      <c r="C75" s="46"/>
      <c r="D75" s="46"/>
    </row>
    <row r="76" spans="1:4" s="40" customFormat="1" ht="30" customHeight="1">
      <c r="A76" s="46"/>
      <c r="B76" s="46"/>
      <c r="C76" s="46"/>
      <c r="D76" s="46"/>
    </row>
    <row r="77" spans="1:4" s="40" customFormat="1" ht="30" customHeight="1">
      <c r="A77" s="46"/>
      <c r="B77" s="46"/>
      <c r="C77" s="46"/>
      <c r="D77" s="46"/>
    </row>
    <row r="78" spans="1:4" s="40" customFormat="1" ht="30" customHeight="1">
      <c r="A78" s="46"/>
      <c r="B78" s="46"/>
      <c r="C78" s="46"/>
      <c r="D78" s="46"/>
    </row>
    <row r="79" spans="1:4" s="40" customFormat="1" ht="30" customHeight="1">
      <c r="A79" s="46"/>
      <c r="B79" s="46"/>
      <c r="C79" s="46"/>
      <c r="D79" s="46"/>
    </row>
    <row r="80" spans="1:4" s="40" customFormat="1" ht="30" customHeight="1">
      <c r="A80" s="46"/>
      <c r="B80" s="46"/>
      <c r="C80" s="46"/>
      <c r="D80" s="46"/>
    </row>
    <row r="81" spans="1:4" s="40" customFormat="1" ht="30" customHeight="1">
      <c r="A81" s="46"/>
      <c r="B81" s="46"/>
      <c r="C81" s="46"/>
      <c r="D81" s="46"/>
    </row>
    <row r="82" spans="1:4" s="40" customFormat="1" ht="30" customHeight="1">
      <c r="A82" s="46"/>
      <c r="B82" s="46"/>
      <c r="C82" s="46"/>
      <c r="D82" s="46"/>
    </row>
    <row r="83" spans="1:4" s="40" customFormat="1" ht="30" customHeight="1">
      <c r="A83" s="46"/>
      <c r="B83" s="46"/>
      <c r="C83" s="46"/>
      <c r="D83" s="46"/>
    </row>
    <row r="84" spans="1:4" s="40" customFormat="1" ht="30" customHeight="1">
      <c r="A84" s="46"/>
      <c r="B84" s="46"/>
      <c r="C84" s="46"/>
      <c r="D84" s="46"/>
    </row>
    <row r="85" spans="1:4" s="40" customFormat="1" ht="30" customHeight="1">
      <c r="A85" s="46"/>
      <c r="B85" s="46"/>
      <c r="C85" s="46"/>
      <c r="D85" s="46"/>
    </row>
    <row r="86" spans="1:4" s="40" customFormat="1" ht="30" customHeight="1">
      <c r="A86" s="46"/>
      <c r="B86" s="46"/>
      <c r="C86" s="46"/>
      <c r="D86" s="46"/>
    </row>
    <row r="87" spans="1:4" s="40" customFormat="1" ht="30" customHeight="1">
      <c r="A87" s="46"/>
      <c r="B87" s="46"/>
      <c r="C87" s="46"/>
      <c r="D87" s="46"/>
    </row>
    <row r="88" spans="1:4" s="40" customFormat="1" ht="30" customHeight="1">
      <c r="A88" s="46"/>
      <c r="B88" s="46"/>
      <c r="C88" s="46"/>
      <c r="D88" s="46"/>
    </row>
    <row r="89" spans="1:4" s="40" customFormat="1" ht="30" customHeight="1">
      <c r="A89" s="46"/>
      <c r="B89" s="46"/>
      <c r="C89" s="46"/>
      <c r="D89" s="46"/>
    </row>
    <row r="90" spans="1:4" s="40" customFormat="1" ht="30" customHeight="1">
      <c r="A90" s="46"/>
      <c r="B90" s="46"/>
      <c r="C90" s="46"/>
      <c r="D90" s="46"/>
    </row>
    <row r="91" spans="1:4" s="40" customFormat="1" ht="30" customHeight="1">
      <c r="A91" s="46"/>
      <c r="B91" s="46"/>
      <c r="C91" s="46"/>
      <c r="D91" s="46"/>
    </row>
    <row r="92" spans="1:4" s="40" customFormat="1" ht="30" customHeight="1">
      <c r="A92" s="46"/>
      <c r="B92" s="46"/>
      <c r="C92" s="46"/>
      <c r="D92" s="46"/>
    </row>
    <row r="93" spans="1:4" s="40" customFormat="1" ht="30" customHeight="1">
      <c r="A93" s="46"/>
      <c r="B93" s="46"/>
      <c r="C93" s="46"/>
      <c r="D93" s="46"/>
    </row>
    <row r="94" spans="1:4" s="40" customFormat="1" ht="30" customHeight="1">
      <c r="A94" s="46"/>
      <c r="B94" s="46"/>
      <c r="C94" s="46"/>
      <c r="D94" s="46"/>
    </row>
    <row r="95" spans="1:4" s="40" customFormat="1" ht="30" customHeight="1">
      <c r="A95" s="46"/>
      <c r="B95" s="46"/>
      <c r="C95" s="46"/>
      <c r="D95" s="46"/>
    </row>
    <row r="96" spans="1:4" s="40" customFormat="1" ht="30" customHeight="1">
      <c r="A96" s="46"/>
      <c r="B96" s="46"/>
      <c r="C96" s="46"/>
      <c r="D96" s="46"/>
    </row>
    <row r="97" spans="1:4" s="40" customFormat="1" ht="30" customHeight="1">
      <c r="A97" s="46"/>
      <c r="B97" s="46"/>
      <c r="C97" s="46"/>
      <c r="D97" s="46"/>
    </row>
    <row r="98" spans="1:4" s="40" customFormat="1" ht="30" customHeight="1">
      <c r="A98" s="46"/>
      <c r="B98" s="46"/>
      <c r="C98" s="46"/>
      <c r="D98" s="46"/>
    </row>
    <row r="99" spans="1:4" s="40" customFormat="1" ht="30" customHeight="1">
      <c r="A99" s="46"/>
      <c r="B99" s="46"/>
      <c r="C99" s="46"/>
      <c r="D99" s="46"/>
    </row>
    <row r="100" spans="1:4" s="40" customFormat="1" ht="30" customHeight="1">
      <c r="A100" s="46"/>
      <c r="B100" s="46"/>
      <c r="C100" s="46"/>
      <c r="D100" s="46"/>
    </row>
    <row r="101" spans="1:4" s="40" customFormat="1" ht="30" customHeight="1">
      <c r="A101" s="46"/>
      <c r="B101" s="46"/>
      <c r="C101" s="46"/>
      <c r="D101" s="46"/>
    </row>
    <row r="102" spans="1:4" s="40" customFormat="1" ht="30" customHeight="1">
      <c r="A102" s="46"/>
      <c r="B102" s="46"/>
      <c r="C102" s="46"/>
      <c r="D102" s="46"/>
    </row>
    <row r="103" spans="1:4" s="40" customFormat="1" ht="30" customHeight="1">
      <c r="A103" s="46"/>
      <c r="B103" s="46"/>
      <c r="C103" s="46"/>
      <c r="D103" s="46"/>
    </row>
    <row r="104" spans="1:4" s="40" customFormat="1" ht="30" customHeight="1">
      <c r="A104" s="46"/>
      <c r="B104" s="46"/>
      <c r="C104" s="46"/>
      <c r="D104" s="46"/>
    </row>
    <row r="105" spans="1:4" s="40" customFormat="1" ht="30" customHeight="1">
      <c r="A105" s="46"/>
      <c r="B105" s="46"/>
      <c r="C105" s="46"/>
      <c r="D105" s="46"/>
    </row>
    <row r="106" spans="1:4" s="40" customFormat="1" ht="30" customHeight="1">
      <c r="A106" s="46"/>
      <c r="B106" s="46"/>
      <c r="C106" s="46"/>
      <c r="D106" s="46"/>
    </row>
    <row r="107" spans="1:4" s="40" customFormat="1" ht="30" customHeight="1">
      <c r="A107" s="46"/>
      <c r="B107" s="46"/>
      <c r="C107" s="46"/>
      <c r="D107" s="46"/>
    </row>
    <row r="108" spans="1:4" s="40" customFormat="1" ht="30" customHeight="1">
      <c r="A108" s="46"/>
      <c r="B108" s="46"/>
      <c r="C108" s="46"/>
      <c r="D108" s="46"/>
    </row>
    <row r="109" spans="1:4" s="40" customFormat="1" ht="30" customHeight="1">
      <c r="A109" s="46"/>
      <c r="B109" s="46"/>
      <c r="C109" s="46"/>
      <c r="D109" s="46"/>
    </row>
    <row r="110" spans="1:4" s="40" customFormat="1" ht="30" customHeight="1">
      <c r="A110" s="46"/>
      <c r="B110" s="46"/>
      <c r="C110" s="46"/>
      <c r="D110" s="46"/>
    </row>
    <row r="111" spans="1:4" s="40" customFormat="1" ht="30" customHeight="1">
      <c r="A111" s="46"/>
      <c r="B111" s="46"/>
      <c r="C111" s="46"/>
      <c r="D111" s="46"/>
    </row>
    <row r="112" spans="1:4" s="40" customFormat="1" ht="30" customHeight="1">
      <c r="A112" s="46"/>
      <c r="B112" s="46"/>
      <c r="C112" s="46"/>
      <c r="D112" s="46"/>
    </row>
    <row r="113" spans="1:4" s="40" customFormat="1" ht="30" customHeight="1">
      <c r="A113" s="46"/>
      <c r="B113" s="46"/>
      <c r="C113" s="46"/>
      <c r="D113" s="46"/>
    </row>
    <row r="114" spans="1:4" s="40" customFormat="1" ht="30" customHeight="1">
      <c r="A114" s="46"/>
      <c r="B114" s="46"/>
      <c r="C114" s="46"/>
      <c r="D114" s="46"/>
    </row>
    <row r="115" spans="1:4" s="40" customFormat="1" ht="30" customHeight="1">
      <c r="A115" s="46"/>
      <c r="B115" s="46"/>
      <c r="C115" s="46"/>
      <c r="D115" s="46"/>
    </row>
    <row r="116" spans="1:4" s="40" customFormat="1" ht="30" customHeight="1">
      <c r="A116" s="46"/>
      <c r="B116" s="46"/>
      <c r="C116" s="46"/>
      <c r="D116" s="46"/>
    </row>
    <row r="117" spans="1:4" s="40" customFormat="1" ht="30" customHeight="1">
      <c r="A117" s="46"/>
      <c r="B117" s="46"/>
      <c r="C117" s="46"/>
      <c r="D117" s="46"/>
    </row>
    <row r="118" spans="1:4" s="40" customFormat="1" ht="30" customHeight="1">
      <c r="A118" s="46"/>
      <c r="B118" s="46"/>
      <c r="C118" s="46"/>
      <c r="D118" s="46"/>
    </row>
    <row r="119" spans="1:4" s="40" customFormat="1" ht="30" customHeight="1">
      <c r="A119" s="46"/>
      <c r="B119" s="46"/>
      <c r="C119" s="46"/>
      <c r="D119" s="46"/>
    </row>
    <row r="120" spans="1:4" s="40" customFormat="1" ht="30" customHeight="1">
      <c r="A120" s="46"/>
      <c r="B120" s="46"/>
      <c r="C120" s="46"/>
      <c r="D120" s="46"/>
    </row>
    <row r="121" spans="1:4" s="40" customFormat="1" ht="30" customHeight="1">
      <c r="A121" s="46"/>
      <c r="B121" s="46"/>
      <c r="C121" s="46"/>
      <c r="D121" s="46"/>
    </row>
    <row r="122" spans="1:4" s="40" customFormat="1" ht="30" customHeight="1">
      <c r="A122" s="46"/>
      <c r="B122" s="46"/>
      <c r="C122" s="46"/>
      <c r="D122" s="46"/>
    </row>
    <row r="123" spans="1:4" s="40" customFormat="1" ht="30" customHeight="1">
      <c r="A123" s="46"/>
      <c r="B123" s="46"/>
      <c r="C123" s="46"/>
      <c r="D123" s="46"/>
    </row>
    <row r="124" spans="1:4" s="40" customFormat="1" ht="30" customHeight="1">
      <c r="A124" s="46"/>
      <c r="B124" s="46"/>
      <c r="C124" s="46"/>
      <c r="D124" s="46"/>
    </row>
    <row r="125" spans="1:4" s="40" customFormat="1" ht="30" customHeight="1">
      <c r="A125" s="46"/>
      <c r="B125" s="46"/>
      <c r="C125" s="46"/>
      <c r="D125" s="46"/>
    </row>
    <row r="126" spans="1:4" s="40" customFormat="1" ht="30" customHeight="1">
      <c r="A126" s="46"/>
      <c r="B126" s="46"/>
      <c r="C126" s="46"/>
      <c r="D126" s="46"/>
    </row>
    <row r="127" spans="1:4" s="40" customFormat="1" ht="30" customHeight="1">
      <c r="A127" s="46"/>
      <c r="B127" s="46"/>
      <c r="C127" s="46"/>
      <c r="D127" s="46"/>
    </row>
    <row r="128" spans="1:4" s="40" customFormat="1" ht="30" customHeight="1">
      <c r="A128" s="46"/>
      <c r="B128" s="46"/>
      <c r="C128" s="46"/>
      <c r="D128" s="46"/>
    </row>
    <row r="129" spans="1:4" s="40" customFormat="1" ht="30" customHeight="1">
      <c r="A129" s="46"/>
      <c r="B129" s="46"/>
      <c r="C129" s="46"/>
      <c r="D129" s="46"/>
    </row>
    <row r="130" spans="1:4" s="40" customFormat="1" ht="30" customHeight="1">
      <c r="A130" s="46"/>
      <c r="B130" s="46"/>
      <c r="C130" s="46"/>
      <c r="D130" s="46"/>
    </row>
    <row r="131" spans="1:4" s="40" customFormat="1" ht="30" customHeight="1">
      <c r="A131" s="46"/>
      <c r="B131" s="46"/>
      <c r="C131" s="46"/>
      <c r="D131" s="46"/>
    </row>
    <row r="132" spans="1:4" s="40" customFormat="1" ht="30" customHeight="1">
      <c r="A132" s="46"/>
      <c r="B132" s="46"/>
      <c r="C132" s="46"/>
      <c r="D132" s="46"/>
    </row>
    <row r="133" spans="1:4" s="40" customFormat="1" ht="30" customHeight="1">
      <c r="A133" s="46"/>
      <c r="B133" s="46"/>
      <c r="C133" s="46"/>
      <c r="D133" s="46"/>
    </row>
    <row r="134" spans="1:4" s="40" customFormat="1" ht="30" customHeight="1">
      <c r="A134" s="46"/>
      <c r="B134" s="46"/>
      <c r="C134" s="46"/>
      <c r="D134" s="46"/>
    </row>
    <row r="135" spans="1:4" s="40" customFormat="1" ht="30" customHeight="1">
      <c r="A135" s="46"/>
      <c r="B135" s="46"/>
      <c r="C135" s="46"/>
      <c r="D135" s="46"/>
    </row>
    <row r="136" spans="1:4" s="40" customFormat="1" ht="30" customHeight="1">
      <c r="A136" s="46"/>
      <c r="B136" s="46"/>
      <c r="C136" s="46"/>
      <c r="D136" s="46"/>
    </row>
    <row r="137" spans="1:4" s="40" customFormat="1" ht="30" customHeight="1">
      <c r="A137" s="46"/>
      <c r="B137" s="46"/>
      <c r="C137" s="46"/>
      <c r="D137" s="46"/>
    </row>
    <row r="138" spans="1:4" s="40" customFormat="1" ht="30" customHeight="1">
      <c r="A138" s="46"/>
      <c r="B138" s="46"/>
      <c r="C138" s="46"/>
      <c r="D138" s="46"/>
    </row>
    <row r="139" spans="1:4" s="40" customFormat="1" ht="30" customHeight="1">
      <c r="A139" s="46"/>
      <c r="B139" s="46"/>
      <c r="C139" s="46"/>
      <c r="D139" s="46"/>
    </row>
    <row r="140" spans="1:4" s="40" customFormat="1" ht="30" customHeight="1">
      <c r="A140" s="46"/>
      <c r="B140" s="46"/>
      <c r="C140" s="46"/>
      <c r="D140" s="46"/>
    </row>
    <row r="141" spans="1:4" s="40" customFormat="1" ht="30" customHeight="1">
      <c r="A141" s="46"/>
      <c r="B141" s="46"/>
      <c r="C141" s="46"/>
      <c r="D141" s="46"/>
    </row>
    <row r="142" spans="1:4" s="40" customFormat="1" ht="30" customHeight="1">
      <c r="A142" s="46"/>
      <c r="B142" s="46"/>
      <c r="C142" s="46"/>
      <c r="D142" s="46"/>
    </row>
    <row r="143" spans="1:4" s="40" customFormat="1" ht="30" customHeight="1">
      <c r="A143" s="46"/>
      <c r="B143" s="46"/>
      <c r="C143" s="46"/>
      <c r="D143" s="46"/>
    </row>
    <row r="144" spans="1:4" s="40" customFormat="1" ht="30" customHeight="1">
      <c r="A144" s="46"/>
      <c r="B144" s="46"/>
      <c r="C144" s="46"/>
      <c r="D144" s="46"/>
    </row>
    <row r="145" spans="1:4" s="40" customFormat="1" ht="30" customHeight="1">
      <c r="A145" s="46"/>
      <c r="B145" s="46"/>
      <c r="C145" s="46"/>
      <c r="D145" s="46"/>
    </row>
    <row r="146" spans="1:4" s="40" customFormat="1" ht="30" customHeight="1">
      <c r="A146" s="46"/>
      <c r="B146" s="46"/>
      <c r="C146" s="46"/>
      <c r="D146" s="46"/>
    </row>
    <row r="147" spans="1:4" s="40" customFormat="1" ht="30" customHeight="1">
      <c r="A147" s="46"/>
      <c r="B147" s="46"/>
      <c r="C147" s="46"/>
      <c r="D147" s="46"/>
    </row>
    <row r="148" spans="1:4" s="40" customFormat="1" ht="30" customHeight="1">
      <c r="A148" s="46"/>
      <c r="B148" s="46"/>
      <c r="C148" s="46"/>
      <c r="D148" s="46"/>
    </row>
    <row r="149" spans="1:4" s="40" customFormat="1" ht="30" customHeight="1">
      <c r="A149" s="46"/>
      <c r="B149" s="46"/>
      <c r="C149" s="46"/>
      <c r="D149" s="46"/>
    </row>
    <row r="150" spans="1:4" s="40" customFormat="1" ht="30" customHeight="1">
      <c r="A150" s="46"/>
      <c r="B150" s="46"/>
      <c r="C150" s="46"/>
      <c r="D150" s="46"/>
    </row>
    <row r="151" spans="1:4" s="40" customFormat="1" ht="30" customHeight="1">
      <c r="A151" s="46"/>
      <c r="B151" s="46"/>
      <c r="C151" s="46"/>
      <c r="D151" s="46"/>
    </row>
    <row r="152" spans="1:4" s="40" customFormat="1" ht="30" customHeight="1">
      <c r="A152" s="46"/>
      <c r="B152" s="46"/>
      <c r="C152" s="46"/>
      <c r="D152" s="46"/>
    </row>
    <row r="153" spans="1:4" s="40" customFormat="1" ht="30" customHeight="1">
      <c r="A153" s="46"/>
      <c r="B153" s="46"/>
      <c r="C153" s="46"/>
      <c r="D153" s="46"/>
    </row>
    <row r="154" spans="1:4" s="40" customFormat="1" ht="30" customHeight="1">
      <c r="A154" s="46"/>
      <c r="B154" s="46"/>
      <c r="C154" s="46"/>
      <c r="D154" s="46"/>
    </row>
    <row r="155" spans="1:4" s="40" customFormat="1" ht="30" customHeight="1">
      <c r="A155" s="46"/>
      <c r="B155" s="46"/>
      <c r="C155" s="46"/>
      <c r="D155" s="46"/>
    </row>
    <row r="156" spans="1:4" s="40" customFormat="1" ht="30" customHeight="1">
      <c r="A156" s="46"/>
      <c r="B156" s="46"/>
      <c r="C156" s="46"/>
      <c r="D156" s="46"/>
    </row>
    <row r="157" spans="1:4" s="40" customFormat="1" ht="30" customHeight="1">
      <c r="A157" s="46"/>
      <c r="B157" s="46"/>
      <c r="C157" s="46"/>
      <c r="D157" s="46"/>
    </row>
    <row r="158" spans="1:4" s="40" customFormat="1" ht="30" customHeight="1">
      <c r="A158" s="46"/>
      <c r="B158" s="46"/>
      <c r="C158" s="46"/>
      <c r="D158" s="46"/>
    </row>
    <row r="159" spans="1:4" s="40" customFormat="1" ht="30" customHeight="1">
      <c r="A159" s="46"/>
      <c r="B159" s="46"/>
      <c r="C159" s="46"/>
      <c r="D159" s="46"/>
    </row>
    <row r="160" spans="1:4" s="40" customFormat="1" ht="30" customHeight="1">
      <c r="A160" s="46"/>
      <c r="B160" s="46"/>
      <c r="C160" s="46"/>
      <c r="D160" s="46"/>
    </row>
    <row r="161" spans="1:4" s="40" customFormat="1" ht="30" customHeight="1">
      <c r="A161" s="46"/>
      <c r="B161" s="46"/>
      <c r="C161" s="46"/>
      <c r="D161" s="46"/>
    </row>
    <row r="162" spans="1:4" s="40" customFormat="1" ht="30" customHeight="1">
      <c r="A162" s="46"/>
      <c r="B162" s="46"/>
      <c r="C162" s="46"/>
      <c r="D162" s="46"/>
    </row>
    <row r="163" spans="1:4" s="40" customFormat="1" ht="30" customHeight="1">
      <c r="A163" s="46"/>
      <c r="B163" s="46"/>
      <c r="C163" s="46"/>
      <c r="D163" s="46"/>
    </row>
    <row r="164" spans="1:4" s="40" customFormat="1" ht="30" customHeight="1">
      <c r="A164" s="46"/>
      <c r="B164" s="46"/>
      <c r="C164" s="46"/>
      <c r="D164" s="46"/>
    </row>
    <row r="165" spans="1:4" s="40" customFormat="1" ht="30" customHeight="1">
      <c r="A165" s="46"/>
      <c r="B165" s="46"/>
      <c r="C165" s="46"/>
      <c r="D165" s="46"/>
    </row>
    <row r="166" spans="1:4" s="40" customFormat="1" ht="30" customHeight="1">
      <c r="A166" s="46"/>
      <c r="B166" s="46"/>
      <c r="C166" s="46"/>
      <c r="D166" s="46"/>
    </row>
    <row r="167" spans="1:4" s="40" customFormat="1" ht="30" customHeight="1">
      <c r="A167" s="46"/>
      <c r="B167" s="46"/>
      <c r="C167" s="46"/>
      <c r="D167" s="46"/>
    </row>
    <row r="168" spans="1:4" s="40" customFormat="1" ht="30" customHeight="1">
      <c r="A168" s="46"/>
      <c r="B168" s="46"/>
      <c r="C168" s="46"/>
      <c r="D168" s="46"/>
    </row>
    <row r="169" spans="1:4" s="40" customFormat="1" ht="30" customHeight="1">
      <c r="A169" s="46"/>
      <c r="B169" s="46"/>
      <c r="C169" s="46"/>
      <c r="D169" s="46"/>
    </row>
    <row r="170" spans="1:4" s="40" customFormat="1" ht="30" customHeight="1">
      <c r="A170" s="46"/>
      <c r="B170" s="46"/>
      <c r="C170" s="46"/>
      <c r="D170" s="46"/>
    </row>
    <row r="171" spans="1:4" s="40" customFormat="1" ht="30" customHeight="1">
      <c r="A171" s="46"/>
      <c r="B171" s="46"/>
      <c r="C171" s="46"/>
      <c r="D171" s="46"/>
    </row>
    <row r="172" spans="1:4" s="40" customFormat="1" ht="30" customHeight="1">
      <c r="A172" s="46"/>
      <c r="B172" s="46"/>
      <c r="C172" s="46"/>
      <c r="D172" s="46"/>
    </row>
    <row r="173" spans="1:4" s="40" customFormat="1" ht="30" customHeight="1">
      <c r="A173" s="46"/>
      <c r="B173" s="46"/>
      <c r="C173" s="46"/>
      <c r="D173" s="46"/>
    </row>
    <row r="174" spans="1:4" s="40" customFormat="1" ht="30" customHeight="1">
      <c r="A174" s="46"/>
      <c r="B174" s="46"/>
      <c r="C174" s="46"/>
      <c r="D174" s="46"/>
    </row>
    <row r="175" spans="1:4" s="40" customFormat="1" ht="30" customHeight="1">
      <c r="A175" s="46"/>
      <c r="B175" s="46"/>
      <c r="C175" s="46"/>
      <c r="D175" s="46"/>
    </row>
    <row r="176" spans="1:4" s="40" customFormat="1" ht="30" customHeight="1">
      <c r="A176" s="46"/>
      <c r="B176" s="46"/>
      <c r="C176" s="46"/>
      <c r="D176" s="46"/>
    </row>
    <row r="177" spans="1:4" s="40" customFormat="1" ht="30" customHeight="1">
      <c r="A177" s="46"/>
      <c r="B177" s="46"/>
      <c r="C177" s="46"/>
      <c r="D177" s="46"/>
    </row>
    <row r="178" spans="1:4" s="40" customFormat="1" ht="30" customHeight="1">
      <c r="A178" s="46"/>
      <c r="B178" s="46"/>
      <c r="C178" s="46"/>
      <c r="D178" s="46"/>
    </row>
    <row r="179" spans="1:4" s="40" customFormat="1" ht="30" customHeight="1">
      <c r="A179" s="46"/>
      <c r="B179" s="46"/>
      <c r="C179" s="46"/>
      <c r="D179" s="46"/>
    </row>
    <row r="180" spans="1:4" s="40" customFormat="1" ht="30" customHeight="1">
      <c r="A180" s="46"/>
      <c r="B180" s="46"/>
      <c r="C180" s="46"/>
      <c r="D180" s="46"/>
    </row>
    <row r="181" spans="1:4" s="40" customFormat="1" ht="30" customHeight="1">
      <c r="A181" s="46"/>
      <c r="B181" s="46"/>
      <c r="C181" s="46"/>
      <c r="D181" s="46"/>
    </row>
    <row r="182" spans="1:4" s="40" customFormat="1" ht="30" customHeight="1">
      <c r="A182" s="46"/>
      <c r="B182" s="46"/>
      <c r="C182" s="46"/>
      <c r="D182" s="46"/>
    </row>
    <row r="183" spans="1:4" s="40" customFormat="1" ht="30" customHeight="1">
      <c r="A183" s="46"/>
      <c r="B183" s="46"/>
      <c r="C183" s="46"/>
      <c r="D183" s="46"/>
    </row>
    <row r="184" spans="1:4" s="40" customFormat="1" ht="30" customHeight="1">
      <c r="A184" s="46"/>
      <c r="B184" s="46"/>
      <c r="C184" s="46"/>
      <c r="D184" s="46"/>
    </row>
    <row r="185" spans="1:4" s="40" customFormat="1" ht="30" customHeight="1">
      <c r="A185" s="46"/>
      <c r="B185" s="46"/>
      <c r="C185" s="46"/>
      <c r="D185" s="46"/>
    </row>
    <row r="186" spans="1:4" s="40" customFormat="1" ht="30" customHeight="1">
      <c r="A186" s="46"/>
      <c r="B186" s="46"/>
      <c r="C186" s="46"/>
      <c r="D186" s="46"/>
    </row>
    <row r="187" spans="1:4" s="40" customFormat="1" ht="30" customHeight="1">
      <c r="A187" s="46"/>
      <c r="B187" s="46"/>
      <c r="C187" s="46"/>
      <c r="D187" s="46"/>
    </row>
    <row r="188" spans="1:4" s="40" customFormat="1" ht="30" customHeight="1">
      <c r="A188" s="46"/>
      <c r="B188" s="46"/>
      <c r="C188" s="46"/>
      <c r="D188" s="46"/>
    </row>
    <row r="189" spans="1:4" s="40" customFormat="1" ht="30" customHeight="1">
      <c r="A189" s="46"/>
      <c r="B189" s="46"/>
      <c r="C189" s="46"/>
      <c r="D189" s="46"/>
    </row>
    <row r="190" spans="1:4" s="40" customFormat="1" ht="30" customHeight="1">
      <c r="A190" s="46"/>
      <c r="B190" s="46"/>
      <c r="C190" s="46"/>
      <c r="D190" s="46"/>
    </row>
    <row r="191" spans="1:4" s="40" customFormat="1" ht="30" customHeight="1">
      <c r="A191" s="46"/>
      <c r="B191" s="46"/>
      <c r="C191" s="46"/>
      <c r="D191" s="46"/>
    </row>
    <row r="192" spans="1:4" s="40" customFormat="1" ht="30" customHeight="1">
      <c r="A192" s="46"/>
      <c r="B192" s="46"/>
      <c r="C192" s="46"/>
      <c r="D192" s="46"/>
    </row>
    <row r="193" spans="1:4" s="40" customFormat="1" ht="30" customHeight="1">
      <c r="A193" s="46"/>
      <c r="B193" s="46"/>
      <c r="C193" s="46"/>
      <c r="D193" s="46"/>
    </row>
    <row r="194" spans="1:4" s="40" customFormat="1" ht="30" customHeight="1">
      <c r="A194" s="46"/>
      <c r="B194" s="46"/>
      <c r="C194" s="46"/>
      <c r="D194" s="46"/>
    </row>
    <row r="195" spans="1:4" s="40" customFormat="1" ht="30" customHeight="1">
      <c r="A195" s="46"/>
      <c r="B195" s="46"/>
      <c r="C195" s="46"/>
      <c r="D195" s="46"/>
    </row>
    <row r="196" spans="1:4" s="40" customFormat="1" ht="30" customHeight="1">
      <c r="A196" s="46"/>
      <c r="B196" s="46"/>
      <c r="C196" s="46"/>
      <c r="D196" s="46"/>
    </row>
    <row r="197" spans="1:4" s="40" customFormat="1" ht="30" customHeight="1">
      <c r="A197" s="46"/>
      <c r="B197" s="46"/>
      <c r="C197" s="46"/>
      <c r="D197" s="46"/>
    </row>
    <row r="198" spans="1:4" s="40" customFormat="1" ht="30" customHeight="1">
      <c r="A198" s="46"/>
      <c r="B198" s="46"/>
      <c r="C198" s="46"/>
      <c r="D198" s="46"/>
    </row>
    <row r="199" spans="1:4" s="40" customFormat="1" ht="30" customHeight="1">
      <c r="A199" s="46"/>
      <c r="B199" s="46"/>
      <c r="C199" s="46"/>
      <c r="D199" s="46"/>
    </row>
    <row r="200" spans="1:4" s="40" customFormat="1" ht="30" customHeight="1">
      <c r="A200" s="46"/>
      <c r="B200" s="46"/>
      <c r="C200" s="46"/>
      <c r="D200" s="46"/>
    </row>
    <row r="201" spans="1:4" s="40" customFormat="1" ht="30" customHeight="1">
      <c r="A201" s="46"/>
      <c r="B201" s="46"/>
      <c r="C201" s="46"/>
      <c r="D201" s="46"/>
    </row>
    <row r="202" spans="1:4" s="40" customFormat="1" ht="30" customHeight="1">
      <c r="A202" s="46"/>
      <c r="B202" s="46"/>
      <c r="C202" s="46"/>
      <c r="D202" s="46"/>
    </row>
    <row r="203" spans="1:4" s="40" customFormat="1" ht="30" customHeight="1">
      <c r="A203" s="46"/>
      <c r="B203" s="46"/>
      <c r="C203" s="46"/>
      <c r="D203" s="46"/>
    </row>
    <row r="204" spans="1:4" s="40" customFormat="1" ht="30" customHeight="1">
      <c r="A204" s="46"/>
      <c r="B204" s="46"/>
      <c r="C204" s="46"/>
      <c r="D204" s="46"/>
    </row>
    <row r="205" spans="1:4" s="40" customFormat="1" ht="30" customHeight="1">
      <c r="A205" s="46"/>
      <c r="B205" s="46"/>
      <c r="C205" s="46"/>
      <c r="D205" s="46"/>
    </row>
    <row r="206" spans="1:4" s="40" customFormat="1" ht="30" customHeight="1">
      <c r="A206" s="46"/>
      <c r="B206" s="46"/>
      <c r="C206" s="46"/>
      <c r="D206" s="46"/>
    </row>
    <row r="207" spans="1:4" s="40" customFormat="1" ht="30" customHeight="1">
      <c r="A207" s="46"/>
      <c r="B207" s="46"/>
      <c r="C207" s="46"/>
      <c r="D207" s="46"/>
    </row>
    <row r="208" spans="1:4" s="40" customFormat="1" ht="30" customHeight="1">
      <c r="A208" s="46"/>
      <c r="B208" s="46"/>
      <c r="C208" s="46"/>
      <c r="D208" s="46"/>
    </row>
    <row r="209" spans="1:4" s="40" customFormat="1" ht="30" customHeight="1">
      <c r="A209" s="46"/>
      <c r="B209" s="46"/>
      <c r="C209" s="46"/>
      <c r="D209" s="46"/>
    </row>
    <row r="210" spans="1:4" s="40" customFormat="1" ht="30" customHeight="1">
      <c r="A210" s="46"/>
      <c r="B210" s="46"/>
      <c r="C210" s="46"/>
      <c r="D210" s="46"/>
    </row>
    <row r="211" spans="1:4" s="40" customFormat="1" ht="30" customHeight="1">
      <c r="A211" s="46"/>
      <c r="B211" s="46"/>
      <c r="C211" s="46"/>
      <c r="D211" s="46"/>
    </row>
    <row r="212" spans="1:4" s="40" customFormat="1" ht="30" customHeight="1">
      <c r="A212" s="46"/>
      <c r="B212" s="46"/>
      <c r="C212" s="46"/>
      <c r="D212" s="46"/>
    </row>
    <row r="213" spans="1:4" s="40" customFormat="1" ht="30" customHeight="1">
      <c r="A213" s="46"/>
      <c r="B213" s="46"/>
      <c r="C213" s="46"/>
      <c r="D213" s="46"/>
    </row>
    <row r="214" spans="1:4" s="40" customFormat="1" ht="30" customHeight="1">
      <c r="A214" s="46"/>
      <c r="B214" s="46"/>
      <c r="C214" s="46"/>
      <c r="D214" s="46"/>
    </row>
    <row r="215" spans="1:4" s="40" customFormat="1" ht="30" customHeight="1">
      <c r="A215" s="46"/>
      <c r="B215" s="46"/>
      <c r="C215" s="46"/>
      <c r="D215" s="46"/>
    </row>
    <row r="216" spans="1:4" s="40" customFormat="1" ht="30" customHeight="1">
      <c r="A216" s="46"/>
      <c r="B216" s="46"/>
      <c r="C216" s="46"/>
      <c r="D216" s="46"/>
    </row>
    <row r="217" spans="1:4" s="40" customFormat="1" ht="30" customHeight="1">
      <c r="A217" s="46"/>
      <c r="B217" s="46"/>
      <c r="C217" s="46"/>
      <c r="D217" s="46"/>
    </row>
    <row r="218" spans="1:4" s="40" customFormat="1" ht="30" customHeight="1">
      <c r="A218" s="46"/>
      <c r="B218" s="46"/>
      <c r="C218" s="46"/>
      <c r="D218" s="46"/>
    </row>
    <row r="219" spans="1:4" s="40" customFormat="1" ht="30" customHeight="1">
      <c r="A219" s="46"/>
      <c r="B219" s="46"/>
      <c r="C219" s="46"/>
      <c r="D219" s="46"/>
    </row>
    <row r="220" spans="1:4" s="40" customFormat="1" ht="30" customHeight="1">
      <c r="A220" s="46"/>
      <c r="B220" s="46"/>
      <c r="C220" s="46"/>
      <c r="D220" s="46"/>
    </row>
    <row r="221" spans="1:4" s="40" customFormat="1" ht="30" customHeight="1">
      <c r="A221" s="46"/>
      <c r="B221" s="46"/>
      <c r="C221" s="46"/>
      <c r="D221" s="46"/>
    </row>
    <row r="222" spans="1:4" s="40" customFormat="1" ht="30" customHeight="1">
      <c r="A222" s="46"/>
      <c r="B222" s="46"/>
      <c r="C222" s="46"/>
      <c r="D222" s="46"/>
    </row>
    <row r="223" spans="1:4" s="40" customFormat="1" ht="30" customHeight="1">
      <c r="A223" s="46"/>
      <c r="B223" s="46"/>
      <c r="C223" s="46"/>
      <c r="D223" s="46"/>
    </row>
    <row r="224" spans="1:4" s="40" customFormat="1" ht="30" customHeight="1">
      <c r="A224" s="46"/>
      <c r="B224" s="46"/>
      <c r="C224" s="46"/>
      <c r="D224" s="46"/>
    </row>
    <row r="225" spans="1:4" s="40" customFormat="1" ht="30" customHeight="1">
      <c r="A225" s="46"/>
      <c r="B225" s="46"/>
      <c r="C225" s="46"/>
      <c r="D225" s="46"/>
    </row>
    <row r="226" spans="1:4" s="40" customFormat="1" ht="30" customHeight="1">
      <c r="A226" s="46"/>
      <c r="B226" s="46"/>
      <c r="C226" s="46"/>
      <c r="D226" s="46"/>
    </row>
    <row r="227" spans="1:4" s="40" customFormat="1" ht="30" customHeight="1">
      <c r="A227" s="46"/>
      <c r="B227" s="46"/>
      <c r="C227" s="46"/>
      <c r="D227" s="46"/>
    </row>
    <row r="228" spans="1:4" s="40" customFormat="1" ht="30" customHeight="1">
      <c r="A228" s="46"/>
      <c r="B228" s="46"/>
      <c r="C228" s="46"/>
      <c r="D228" s="46"/>
    </row>
    <row r="229" spans="1:4" s="40" customFormat="1" ht="30" customHeight="1">
      <c r="A229" s="46"/>
      <c r="B229" s="46"/>
      <c r="C229" s="46"/>
      <c r="D229" s="46"/>
    </row>
    <row r="230" spans="1:4" s="40" customFormat="1" ht="30" customHeight="1">
      <c r="A230" s="46"/>
      <c r="B230" s="46"/>
      <c r="C230" s="46"/>
      <c r="D230" s="46"/>
    </row>
    <row r="231" spans="1:4" s="40" customFormat="1" ht="30" customHeight="1">
      <c r="A231" s="46"/>
      <c r="B231" s="46"/>
      <c r="C231" s="46"/>
      <c r="D231" s="46"/>
    </row>
    <row r="232" spans="1:4" s="40" customFormat="1" ht="30" customHeight="1">
      <c r="A232" s="46"/>
      <c r="B232" s="46"/>
      <c r="C232" s="46"/>
      <c r="D232" s="46"/>
    </row>
    <row r="233" spans="1:4" s="40" customFormat="1" ht="30" customHeight="1">
      <c r="A233" s="46"/>
      <c r="B233" s="46"/>
      <c r="C233" s="46"/>
      <c r="D233" s="46"/>
    </row>
    <row r="234" spans="1:4" s="40" customFormat="1" ht="30" customHeight="1">
      <c r="A234" s="46"/>
      <c r="B234" s="46"/>
      <c r="C234" s="46"/>
      <c r="D234" s="46"/>
    </row>
    <row r="235" spans="1:4" s="40" customFormat="1" ht="30" customHeight="1">
      <c r="A235" s="46"/>
      <c r="B235" s="46"/>
      <c r="C235" s="46"/>
      <c r="D235" s="46"/>
    </row>
    <row r="236" spans="1:4" s="40" customFormat="1" ht="30" customHeight="1">
      <c r="A236" s="46"/>
      <c r="B236" s="46"/>
      <c r="C236" s="46"/>
      <c r="D236" s="46"/>
    </row>
    <row r="237" spans="1:4" s="40" customFormat="1" ht="30" customHeight="1">
      <c r="A237" s="46"/>
      <c r="B237" s="46"/>
      <c r="C237" s="46"/>
      <c r="D237" s="46"/>
    </row>
    <row r="238" spans="1:4" s="40" customFormat="1" ht="30" customHeight="1">
      <c r="A238" s="46"/>
      <c r="B238" s="46"/>
      <c r="C238" s="46"/>
      <c r="D238" s="46"/>
    </row>
    <row r="239" spans="1:4" s="40" customFormat="1" ht="30" customHeight="1">
      <c r="A239" s="46"/>
      <c r="B239" s="46"/>
      <c r="C239" s="46"/>
      <c r="D239" s="46"/>
    </row>
    <row r="240" spans="1:4" s="40" customFormat="1" ht="30" customHeight="1">
      <c r="A240" s="46"/>
      <c r="B240" s="46"/>
      <c r="C240" s="46"/>
      <c r="D240" s="46"/>
    </row>
    <row r="241" spans="1:4" s="40" customFormat="1" ht="30" customHeight="1">
      <c r="A241" s="46"/>
      <c r="B241" s="46"/>
      <c r="C241" s="46"/>
      <c r="D241" s="46"/>
    </row>
    <row r="242" spans="1:4" s="40" customFormat="1" ht="30" customHeight="1">
      <c r="A242" s="46"/>
      <c r="B242" s="46"/>
      <c r="C242" s="46"/>
      <c r="D242" s="46"/>
    </row>
    <row r="243" spans="1:4" s="40" customFormat="1" ht="30" customHeight="1">
      <c r="A243" s="46"/>
      <c r="B243" s="46"/>
      <c r="C243" s="46"/>
      <c r="D243" s="46"/>
    </row>
    <row r="244" spans="1:4" s="40" customFormat="1" ht="30" customHeight="1">
      <c r="A244" s="46"/>
      <c r="B244" s="46"/>
      <c r="C244" s="46"/>
      <c r="D244" s="46"/>
    </row>
    <row r="245" spans="1:4" s="40" customFormat="1" ht="30" customHeight="1">
      <c r="A245" s="46"/>
      <c r="B245" s="46"/>
      <c r="C245" s="46"/>
      <c r="D245" s="46"/>
    </row>
    <row r="246" spans="1:4" s="40" customFormat="1" ht="30" customHeight="1">
      <c r="A246" s="46"/>
      <c r="B246" s="46"/>
      <c r="C246" s="46"/>
      <c r="D246" s="46"/>
    </row>
    <row r="247" spans="1:4" s="40" customFormat="1" ht="30" customHeight="1">
      <c r="A247" s="46"/>
      <c r="B247" s="46"/>
      <c r="C247" s="46"/>
      <c r="D247" s="46"/>
    </row>
    <row r="248" spans="1:4" s="40" customFormat="1" ht="30" customHeight="1">
      <c r="A248" s="46"/>
      <c r="B248" s="46"/>
      <c r="C248" s="46"/>
      <c r="D248" s="46"/>
    </row>
    <row r="249" spans="1:4" s="40" customFormat="1" ht="30" customHeight="1">
      <c r="A249" s="46"/>
      <c r="B249" s="46"/>
      <c r="C249" s="46"/>
      <c r="D249" s="46"/>
    </row>
    <row r="250" spans="1:4" s="40" customFormat="1" ht="30" customHeight="1">
      <c r="A250" s="46"/>
      <c r="B250" s="46"/>
      <c r="C250" s="46"/>
      <c r="D250" s="46"/>
    </row>
    <row r="251" spans="1:4" s="40" customFormat="1" ht="30" customHeight="1">
      <c r="A251" s="46"/>
      <c r="B251" s="46"/>
      <c r="C251" s="46"/>
      <c r="D251" s="46"/>
    </row>
    <row r="252" spans="1:4" s="40" customFormat="1" ht="30" customHeight="1">
      <c r="A252" s="46"/>
      <c r="B252" s="46"/>
      <c r="C252" s="46"/>
      <c r="D252" s="46"/>
    </row>
    <row r="253" spans="1:4" s="40" customFormat="1" ht="30" customHeight="1">
      <c r="A253" s="46"/>
      <c r="B253" s="46"/>
      <c r="C253" s="46"/>
      <c r="D253" s="46"/>
    </row>
    <row r="254" spans="1:4" s="40" customFormat="1" ht="30" customHeight="1">
      <c r="A254" s="46"/>
      <c r="B254" s="46"/>
      <c r="C254" s="46"/>
      <c r="D254" s="46"/>
    </row>
    <row r="255" spans="1:4" s="40" customFormat="1" ht="30" customHeight="1">
      <c r="A255" s="46"/>
      <c r="B255" s="46"/>
      <c r="C255" s="46"/>
      <c r="D255" s="46"/>
    </row>
    <row r="256" spans="1:4" s="40" customFormat="1" ht="30" customHeight="1">
      <c r="A256" s="46"/>
      <c r="B256" s="46"/>
      <c r="C256" s="46"/>
      <c r="D256" s="46"/>
    </row>
    <row r="257" spans="1:4" s="40" customFormat="1" ht="30" customHeight="1">
      <c r="A257" s="46"/>
      <c r="B257" s="46"/>
      <c r="C257" s="46"/>
      <c r="D257" s="46"/>
    </row>
    <row r="258" spans="1:4" s="40" customFormat="1" ht="30" customHeight="1">
      <c r="A258" s="46"/>
      <c r="B258" s="46"/>
      <c r="C258" s="46"/>
      <c r="D258" s="46"/>
    </row>
    <row r="259" spans="1:4" s="40" customFormat="1" ht="30" customHeight="1">
      <c r="A259" s="46"/>
      <c r="B259" s="46"/>
      <c r="C259" s="46"/>
      <c r="D259" s="46"/>
    </row>
    <row r="260" spans="1:4" s="40" customFormat="1" ht="30" customHeight="1">
      <c r="A260" s="46"/>
      <c r="B260" s="46"/>
      <c r="C260" s="46"/>
      <c r="D260" s="46"/>
    </row>
    <row r="261" spans="1:4" s="40" customFormat="1" ht="30" customHeight="1">
      <c r="A261" s="46"/>
      <c r="B261" s="46"/>
      <c r="C261" s="46"/>
      <c r="D261" s="46"/>
    </row>
    <row r="262" spans="1:4" s="40" customFormat="1" ht="30" customHeight="1">
      <c r="A262" s="46"/>
      <c r="B262" s="46"/>
      <c r="C262" s="46"/>
      <c r="D262" s="46"/>
    </row>
    <row r="263" spans="1:4" s="40" customFormat="1" ht="30" customHeight="1">
      <c r="A263" s="46"/>
      <c r="B263" s="46"/>
      <c r="C263" s="46"/>
      <c r="D263" s="46"/>
    </row>
    <row r="264" spans="1:4" s="40" customFormat="1" ht="30" customHeight="1">
      <c r="A264" s="46"/>
      <c r="B264" s="46"/>
      <c r="C264" s="46"/>
      <c r="D264" s="46"/>
    </row>
    <row r="265" spans="1:4" s="40" customFormat="1" ht="30" customHeight="1">
      <c r="A265" s="46"/>
      <c r="B265" s="46"/>
      <c r="C265" s="46"/>
      <c r="D265" s="46"/>
    </row>
    <row r="266" spans="1:4" s="40" customFormat="1" ht="30" customHeight="1">
      <c r="A266" s="46"/>
      <c r="B266" s="46"/>
      <c r="C266" s="46"/>
      <c r="D266" s="46"/>
    </row>
    <row r="267" spans="1:4" s="40" customFormat="1" ht="30" customHeight="1">
      <c r="A267" s="46"/>
      <c r="B267" s="46"/>
      <c r="C267" s="46"/>
      <c r="D267" s="46"/>
    </row>
    <row r="268" spans="1:4" s="40" customFormat="1" ht="30" customHeight="1">
      <c r="A268" s="46"/>
      <c r="B268" s="46"/>
      <c r="C268" s="46"/>
      <c r="D268" s="46"/>
    </row>
    <row r="269" spans="1:4" s="40" customFormat="1" ht="30" customHeight="1">
      <c r="A269" s="46"/>
      <c r="B269" s="46"/>
      <c r="C269" s="46"/>
      <c r="D269" s="46"/>
    </row>
    <row r="270" spans="1:4" s="40" customFormat="1" ht="30" customHeight="1">
      <c r="A270" s="46"/>
      <c r="B270" s="46"/>
      <c r="C270" s="46"/>
      <c r="D270" s="46"/>
    </row>
    <row r="271" spans="1:4" s="40" customFormat="1" ht="30" customHeight="1">
      <c r="A271" s="46"/>
      <c r="B271" s="46"/>
      <c r="C271" s="46"/>
      <c r="D271" s="46"/>
    </row>
    <row r="272" spans="1:4" s="40" customFormat="1" ht="30" customHeight="1">
      <c r="A272" s="46"/>
      <c r="B272" s="46"/>
      <c r="C272" s="46"/>
      <c r="D272" s="46"/>
    </row>
    <row r="273" spans="1:4" s="40" customFormat="1" ht="30" customHeight="1">
      <c r="A273" s="46"/>
      <c r="B273" s="46"/>
      <c r="C273" s="46"/>
      <c r="D273" s="46"/>
    </row>
    <row r="274" spans="1:4" s="40" customFormat="1" ht="30" customHeight="1">
      <c r="A274" s="46"/>
      <c r="B274" s="46"/>
      <c r="C274" s="46"/>
      <c r="D274" s="46"/>
    </row>
    <row r="275" spans="1:4" s="40" customFormat="1" ht="30" customHeight="1">
      <c r="A275" s="46"/>
      <c r="B275" s="46"/>
      <c r="C275" s="46"/>
      <c r="D275" s="46"/>
    </row>
    <row r="276" spans="1:4" s="40" customFormat="1" ht="30" customHeight="1">
      <c r="A276" s="46"/>
      <c r="B276" s="46"/>
      <c r="C276" s="46"/>
      <c r="D276" s="46"/>
    </row>
    <row r="277" spans="1:4" s="40" customFormat="1" ht="30" customHeight="1">
      <c r="A277" s="46"/>
      <c r="B277" s="46"/>
      <c r="C277" s="46"/>
      <c r="D277" s="46"/>
    </row>
    <row r="278" spans="1:4" s="40" customFormat="1" ht="30" customHeight="1">
      <c r="A278" s="46"/>
      <c r="B278" s="46"/>
      <c r="C278" s="46"/>
      <c r="D278" s="46"/>
    </row>
    <row r="279" spans="1:4" s="40" customFormat="1" ht="30" customHeight="1">
      <c r="A279" s="46"/>
      <c r="B279" s="46"/>
      <c r="C279" s="46"/>
      <c r="D279" s="46"/>
    </row>
    <row r="280" spans="1:4" s="40" customFormat="1" ht="30" customHeight="1">
      <c r="A280" s="46"/>
      <c r="B280" s="46"/>
      <c r="C280" s="46"/>
      <c r="D280" s="46"/>
    </row>
    <row r="281" spans="1:4" s="40" customFormat="1" ht="30" customHeight="1">
      <c r="A281" s="46"/>
      <c r="B281" s="46"/>
      <c r="C281" s="46"/>
      <c r="D281" s="46"/>
    </row>
    <row r="282" spans="1:4" s="40" customFormat="1" ht="30" customHeight="1">
      <c r="A282" s="46"/>
      <c r="B282" s="46"/>
      <c r="C282" s="46"/>
      <c r="D282" s="46"/>
    </row>
    <row r="283" spans="1:4" s="40" customFormat="1" ht="30" customHeight="1">
      <c r="A283" s="46"/>
      <c r="B283" s="46"/>
      <c r="C283" s="46"/>
      <c r="D283" s="46"/>
    </row>
    <row r="284" spans="1:4" s="40" customFormat="1" ht="30" customHeight="1">
      <c r="A284" s="46"/>
      <c r="B284" s="46"/>
      <c r="C284" s="46"/>
      <c r="D284" s="46"/>
    </row>
    <row r="285" spans="1:4" s="40" customFormat="1" ht="30" customHeight="1">
      <c r="A285" s="46"/>
      <c r="B285" s="46"/>
      <c r="C285" s="46"/>
      <c r="D285" s="46"/>
    </row>
    <row r="286" spans="1:4" s="40" customFormat="1" ht="30" customHeight="1">
      <c r="A286" s="46"/>
      <c r="B286" s="46"/>
      <c r="C286" s="46"/>
      <c r="D286" s="46"/>
    </row>
    <row r="287" spans="1:4" s="40" customFormat="1" ht="30" customHeight="1">
      <c r="A287" s="46"/>
      <c r="B287" s="46"/>
      <c r="C287" s="46"/>
      <c r="D287" s="46"/>
    </row>
    <row r="288" spans="1:4" s="40" customFormat="1" ht="30" customHeight="1">
      <c r="A288" s="46"/>
      <c r="B288" s="46"/>
      <c r="C288" s="46"/>
      <c r="D288" s="46"/>
    </row>
    <row r="289" spans="1:4" s="40" customFormat="1" ht="30" customHeight="1">
      <c r="A289" s="46"/>
      <c r="B289" s="46"/>
      <c r="C289" s="46"/>
      <c r="D289" s="46"/>
    </row>
    <row r="290" spans="1:4" s="40" customFormat="1" ht="30" customHeight="1">
      <c r="A290" s="46"/>
      <c r="B290" s="46"/>
      <c r="C290" s="46"/>
      <c r="D290" s="46"/>
    </row>
    <row r="291" spans="1:4" s="40" customFormat="1" ht="30" customHeight="1">
      <c r="A291" s="46"/>
      <c r="B291" s="46"/>
      <c r="C291" s="46"/>
      <c r="D291" s="46"/>
    </row>
    <row r="292" spans="1:4" s="40" customFormat="1" ht="30" customHeight="1">
      <c r="A292" s="46"/>
      <c r="B292" s="46"/>
      <c r="C292" s="46"/>
      <c r="D292" s="46"/>
    </row>
    <row r="293" spans="1:4" s="40" customFormat="1" ht="30" customHeight="1">
      <c r="A293" s="46"/>
      <c r="B293" s="46"/>
      <c r="C293" s="46"/>
      <c r="D293" s="46"/>
    </row>
    <row r="294" spans="1:4" s="40" customFormat="1" ht="30" customHeight="1">
      <c r="A294" s="46"/>
      <c r="B294" s="46"/>
      <c r="C294" s="46"/>
      <c r="D294" s="46"/>
    </row>
    <row r="295" spans="1:4" s="40" customFormat="1" ht="30" customHeight="1">
      <c r="A295" s="46"/>
      <c r="B295" s="46"/>
      <c r="C295" s="46"/>
      <c r="D295" s="46"/>
    </row>
    <row r="296" spans="1:4" s="40" customFormat="1" ht="30" customHeight="1">
      <c r="A296" s="46"/>
      <c r="B296" s="46"/>
      <c r="C296" s="46"/>
      <c r="D296" s="46"/>
    </row>
    <row r="297" spans="1:4" s="40" customFormat="1" ht="30" customHeight="1">
      <c r="A297" s="46"/>
      <c r="B297" s="46"/>
      <c r="C297" s="46"/>
      <c r="D297" s="46"/>
    </row>
    <row r="298" spans="1:4" s="40" customFormat="1" ht="30" customHeight="1">
      <c r="A298" s="46"/>
      <c r="B298" s="46"/>
      <c r="C298" s="46"/>
      <c r="D298" s="46"/>
    </row>
    <row r="299" spans="1:4" s="40" customFormat="1" ht="30" customHeight="1">
      <c r="A299" s="46"/>
      <c r="B299" s="46"/>
      <c r="C299" s="46"/>
      <c r="D299" s="46"/>
    </row>
    <row r="300" spans="1:4" s="40" customFormat="1" ht="30" customHeight="1">
      <c r="A300" s="46"/>
      <c r="B300" s="46"/>
      <c r="C300" s="46"/>
      <c r="D300" s="46"/>
    </row>
    <row r="301" spans="1:4" s="40" customFormat="1" ht="30" customHeight="1">
      <c r="A301" s="46"/>
      <c r="B301" s="46"/>
      <c r="C301" s="46"/>
      <c r="D301" s="46"/>
    </row>
    <row r="302" spans="1:4" s="40" customFormat="1" ht="30" customHeight="1">
      <c r="A302" s="46"/>
      <c r="B302" s="46"/>
      <c r="C302" s="46"/>
      <c r="D302" s="46"/>
    </row>
    <row r="303" spans="1:4" s="40" customFormat="1" ht="30" customHeight="1">
      <c r="A303" s="46"/>
      <c r="B303" s="46"/>
      <c r="C303" s="46"/>
      <c r="D303" s="46"/>
    </row>
    <row r="304" spans="1:4" s="40" customFormat="1" ht="30" customHeight="1">
      <c r="A304" s="46"/>
      <c r="B304" s="46"/>
      <c r="C304" s="46"/>
      <c r="D304" s="46"/>
    </row>
    <row r="305" spans="1:4" s="40" customFormat="1" ht="30" customHeight="1">
      <c r="A305" s="46"/>
      <c r="B305" s="46"/>
      <c r="C305" s="46"/>
      <c r="D305" s="46"/>
    </row>
    <row r="306" spans="1:4" s="40" customFormat="1" ht="30" customHeight="1">
      <c r="A306" s="46"/>
      <c r="B306" s="46"/>
      <c r="C306" s="46"/>
      <c r="D306" s="46"/>
    </row>
    <row r="307" spans="1:4" s="40" customFormat="1" ht="30" customHeight="1">
      <c r="A307" s="46"/>
      <c r="B307" s="46"/>
      <c r="C307" s="46"/>
      <c r="D307" s="46"/>
    </row>
    <row r="308" spans="1:4" s="40" customFormat="1" ht="30" customHeight="1">
      <c r="A308" s="46"/>
      <c r="B308" s="46"/>
      <c r="C308" s="46"/>
      <c r="D308" s="46"/>
    </row>
    <row r="309" spans="1:4" s="40" customFormat="1" ht="30" customHeight="1">
      <c r="A309" s="46"/>
      <c r="B309" s="46"/>
      <c r="C309" s="46"/>
      <c r="D309" s="46"/>
    </row>
    <row r="310" spans="1:4" s="40" customFormat="1" ht="30" customHeight="1">
      <c r="A310" s="46"/>
      <c r="B310" s="46"/>
      <c r="C310" s="46"/>
      <c r="D310" s="46"/>
    </row>
    <row r="311" spans="1:4" s="40" customFormat="1" ht="30" customHeight="1">
      <c r="A311" s="46"/>
      <c r="B311" s="46"/>
      <c r="C311" s="46"/>
      <c r="D311" s="46"/>
    </row>
    <row r="312" spans="1:4" s="40" customFormat="1" ht="30" customHeight="1">
      <c r="A312" s="46"/>
      <c r="B312" s="46"/>
      <c r="C312" s="46"/>
      <c r="D312" s="46"/>
    </row>
    <row r="313" spans="1:4" s="40" customFormat="1" ht="30" customHeight="1">
      <c r="A313" s="46"/>
      <c r="B313" s="46"/>
      <c r="C313" s="46"/>
      <c r="D313" s="46"/>
    </row>
    <row r="314" spans="1:4" s="40" customFormat="1" ht="30" customHeight="1">
      <c r="A314" s="46"/>
      <c r="B314" s="46"/>
      <c r="C314" s="46"/>
      <c r="D314" s="46"/>
    </row>
    <row r="315" spans="1:4" s="40" customFormat="1" ht="30" customHeight="1">
      <c r="A315" s="46"/>
      <c r="B315" s="46"/>
      <c r="C315" s="46"/>
      <c r="D315" s="46"/>
    </row>
    <row r="316" spans="1:4" s="40" customFormat="1" ht="30" customHeight="1">
      <c r="A316" s="46"/>
      <c r="B316" s="46"/>
      <c r="C316" s="46"/>
      <c r="D316" s="46"/>
    </row>
    <row r="317" spans="1:4" s="40" customFormat="1" ht="30" customHeight="1">
      <c r="A317" s="46"/>
      <c r="B317" s="46"/>
      <c r="C317" s="46"/>
      <c r="D317" s="46"/>
    </row>
    <row r="318" spans="1:4" s="40" customFormat="1" ht="30" customHeight="1">
      <c r="A318" s="46"/>
      <c r="B318" s="46"/>
      <c r="C318" s="46"/>
      <c r="D318" s="46"/>
    </row>
    <row r="319" spans="1:4" s="40" customFormat="1" ht="30" customHeight="1">
      <c r="A319" s="46"/>
      <c r="B319" s="46"/>
      <c r="C319" s="46"/>
      <c r="D319" s="46"/>
    </row>
    <row r="320" spans="1:4" s="40" customFormat="1" ht="30" customHeight="1">
      <c r="A320" s="46"/>
      <c r="B320" s="46"/>
      <c r="C320" s="46"/>
      <c r="D320" s="46"/>
    </row>
    <row r="321" spans="1:4" s="40" customFormat="1" ht="30" customHeight="1">
      <c r="A321" s="46"/>
      <c r="B321" s="46"/>
      <c r="C321" s="46"/>
      <c r="D321" s="46"/>
    </row>
    <row r="322" spans="1:4" s="40" customFormat="1" ht="30" customHeight="1">
      <c r="A322" s="46"/>
      <c r="B322" s="46"/>
      <c r="C322" s="46"/>
      <c r="D322" s="46"/>
    </row>
    <row r="323" spans="1:4" s="40" customFormat="1" ht="30" customHeight="1">
      <c r="A323" s="46"/>
      <c r="B323" s="46"/>
      <c r="C323" s="46"/>
      <c r="D323" s="46"/>
    </row>
    <row r="324" spans="1:4" s="40" customFormat="1" ht="30" customHeight="1">
      <c r="A324" s="46"/>
      <c r="B324" s="46"/>
      <c r="C324" s="46"/>
      <c r="D324" s="46"/>
    </row>
    <row r="325" spans="1:4" s="40" customFormat="1" ht="30" customHeight="1">
      <c r="A325" s="46"/>
      <c r="B325" s="46"/>
      <c r="C325" s="46"/>
      <c r="D325" s="46"/>
    </row>
    <row r="326" spans="1:4" s="40" customFormat="1" ht="30" customHeight="1">
      <c r="A326" s="46"/>
      <c r="B326" s="46"/>
      <c r="C326" s="46"/>
      <c r="D326" s="46"/>
    </row>
    <row r="327" spans="1:4" s="40" customFormat="1" ht="30" customHeight="1">
      <c r="A327" s="46"/>
      <c r="B327" s="46"/>
      <c r="C327" s="46"/>
      <c r="D327" s="46"/>
    </row>
    <row r="328" spans="1:4" s="40" customFormat="1" ht="30" customHeight="1">
      <c r="A328" s="46"/>
      <c r="B328" s="46"/>
      <c r="C328" s="46"/>
      <c r="D328" s="46"/>
    </row>
    <row r="329" spans="1:4" s="40" customFormat="1" ht="30" customHeight="1">
      <c r="A329" s="46"/>
      <c r="B329" s="46"/>
      <c r="C329" s="46"/>
      <c r="D329" s="46"/>
    </row>
    <row r="330" spans="1:4" s="40" customFormat="1" ht="30" customHeight="1">
      <c r="A330" s="46"/>
      <c r="B330" s="46"/>
      <c r="C330" s="46"/>
      <c r="D330" s="46"/>
    </row>
    <row r="331" spans="1:4" s="40" customFormat="1" ht="30" customHeight="1">
      <c r="A331" s="46"/>
      <c r="B331" s="46"/>
      <c r="C331" s="46"/>
      <c r="D331" s="46"/>
    </row>
    <row r="332" spans="1:4" s="40" customFormat="1" ht="30" customHeight="1">
      <c r="A332" s="46"/>
      <c r="B332" s="46"/>
      <c r="C332" s="46"/>
      <c r="D332" s="46"/>
    </row>
    <row r="333" spans="1:4" s="40" customFormat="1" ht="30" customHeight="1">
      <c r="A333" s="46"/>
      <c r="B333" s="46"/>
      <c r="C333" s="46"/>
      <c r="D333" s="46"/>
    </row>
    <row r="334" spans="1:4" s="40" customFormat="1" ht="30" customHeight="1">
      <c r="A334" s="46"/>
      <c r="B334" s="46"/>
      <c r="C334" s="46"/>
      <c r="D334" s="46"/>
    </row>
    <row r="335" spans="1:4" s="40" customFormat="1" ht="30" customHeight="1">
      <c r="A335" s="46"/>
      <c r="B335" s="46"/>
      <c r="C335" s="46"/>
      <c r="D335" s="46"/>
    </row>
    <row r="336" spans="1:4" s="40" customFormat="1" ht="30" customHeight="1">
      <c r="A336" s="46"/>
      <c r="B336" s="46"/>
      <c r="C336" s="46"/>
      <c r="D336" s="46"/>
    </row>
    <row r="337" spans="1:4" s="40" customFormat="1" ht="30" customHeight="1">
      <c r="A337" s="46"/>
      <c r="B337" s="46"/>
      <c r="C337" s="46"/>
      <c r="D337" s="46"/>
    </row>
    <row r="338" spans="1:4" s="40" customFormat="1" ht="30" customHeight="1">
      <c r="A338" s="46"/>
      <c r="B338" s="46"/>
      <c r="C338" s="46"/>
      <c r="D338" s="46"/>
    </row>
    <row r="339" spans="1:4" s="40" customFormat="1" ht="30" customHeight="1">
      <c r="A339" s="46"/>
      <c r="B339" s="46"/>
      <c r="C339" s="46"/>
      <c r="D339" s="46"/>
    </row>
    <row r="340" spans="1:4" s="40" customFormat="1" ht="30" customHeight="1">
      <c r="A340" s="46"/>
      <c r="B340" s="46"/>
      <c r="C340" s="46"/>
      <c r="D340" s="46"/>
    </row>
    <row r="341" spans="1:4" s="40" customFormat="1" ht="30" customHeight="1">
      <c r="A341" s="46"/>
      <c r="B341" s="46"/>
      <c r="C341" s="46"/>
      <c r="D341" s="46"/>
    </row>
    <row r="342" spans="1:4" s="40" customFormat="1" ht="30" customHeight="1">
      <c r="A342" s="46"/>
      <c r="B342" s="46"/>
      <c r="C342" s="46"/>
      <c r="D342" s="46"/>
    </row>
    <row r="343" spans="1:4" s="40" customFormat="1" ht="30" customHeight="1">
      <c r="A343" s="46"/>
      <c r="B343" s="46"/>
      <c r="C343" s="46"/>
      <c r="D343" s="46"/>
    </row>
    <row r="344" spans="1:4" s="40" customFormat="1" ht="30" customHeight="1">
      <c r="A344" s="46"/>
      <c r="B344" s="46"/>
      <c r="C344" s="46"/>
      <c r="D344" s="46"/>
    </row>
    <row r="345" spans="1:4" s="40" customFormat="1" ht="30" customHeight="1">
      <c r="A345" s="46"/>
      <c r="B345" s="46"/>
      <c r="C345" s="46"/>
      <c r="D345" s="46"/>
    </row>
    <row r="346" spans="1:4" s="40" customFormat="1" ht="30" customHeight="1">
      <c r="A346" s="46"/>
      <c r="B346" s="46"/>
      <c r="C346" s="46"/>
      <c r="D346" s="46"/>
    </row>
    <row r="347" spans="1:4" s="40" customFormat="1" ht="30" customHeight="1">
      <c r="A347" s="46"/>
      <c r="B347" s="46"/>
      <c r="C347" s="46"/>
      <c r="D347" s="46"/>
    </row>
    <row r="348" spans="1:4" s="40" customFormat="1" ht="30" customHeight="1">
      <c r="A348" s="46"/>
      <c r="B348" s="46"/>
      <c r="C348" s="46"/>
      <c r="D348" s="46"/>
    </row>
    <row r="349" spans="1:4" s="40" customFormat="1" ht="30" customHeight="1">
      <c r="A349" s="46"/>
      <c r="B349" s="46"/>
      <c r="C349" s="46"/>
      <c r="D349" s="46"/>
    </row>
    <row r="350" spans="1:4" s="40" customFormat="1" ht="30" customHeight="1">
      <c r="A350" s="46"/>
      <c r="B350" s="46"/>
      <c r="C350" s="46"/>
      <c r="D350" s="46"/>
    </row>
    <row r="351" spans="1:4" s="40" customFormat="1" ht="30" customHeight="1">
      <c r="A351" s="46"/>
      <c r="B351" s="46"/>
      <c r="C351" s="46"/>
      <c r="D351" s="46"/>
    </row>
    <row r="352" spans="1:4" s="40" customFormat="1" ht="30" customHeight="1">
      <c r="A352" s="46"/>
      <c r="B352" s="46"/>
      <c r="C352" s="46"/>
      <c r="D352" s="46"/>
    </row>
    <row r="353" spans="1:4" s="40" customFormat="1" ht="30" customHeight="1">
      <c r="A353" s="46"/>
      <c r="B353" s="46"/>
      <c r="C353" s="46"/>
      <c r="D353" s="46"/>
    </row>
    <row r="354" spans="1:4" s="40" customFormat="1" ht="30" customHeight="1">
      <c r="A354" s="46"/>
      <c r="B354" s="46"/>
      <c r="C354" s="46"/>
      <c r="D354" s="46"/>
    </row>
    <row r="355" spans="1:4" s="40" customFormat="1" ht="30" customHeight="1">
      <c r="A355" s="46"/>
      <c r="B355" s="46"/>
      <c r="C355" s="46"/>
      <c r="D355" s="46"/>
    </row>
    <row r="356" spans="1:4" s="40" customFormat="1" ht="30" customHeight="1">
      <c r="A356" s="46"/>
      <c r="B356" s="46"/>
      <c r="C356" s="46"/>
      <c r="D356" s="46"/>
    </row>
    <row r="357" spans="1:4" s="40" customFormat="1" ht="30" customHeight="1">
      <c r="A357" s="46"/>
      <c r="B357" s="46"/>
      <c r="C357" s="46"/>
      <c r="D357" s="46"/>
    </row>
    <row r="358" spans="1:4" s="40" customFormat="1" ht="30" customHeight="1">
      <c r="A358" s="46"/>
      <c r="B358" s="46"/>
      <c r="C358" s="46"/>
      <c r="D358" s="46"/>
    </row>
    <row r="359" spans="1:4" s="40" customFormat="1" ht="30" customHeight="1">
      <c r="A359" s="46"/>
      <c r="B359" s="46"/>
      <c r="C359" s="46"/>
      <c r="D359" s="46"/>
    </row>
    <row r="360" spans="1:4" s="40" customFormat="1" ht="30" customHeight="1">
      <c r="A360" s="46"/>
      <c r="B360" s="46"/>
      <c r="C360" s="46"/>
      <c r="D360" s="46"/>
    </row>
    <row r="361" spans="1:4" s="40" customFormat="1" ht="30" customHeight="1">
      <c r="A361" s="46"/>
      <c r="B361" s="46"/>
      <c r="C361" s="46"/>
      <c r="D361" s="46"/>
    </row>
    <row r="362" spans="1:4" s="40" customFormat="1" ht="30" customHeight="1">
      <c r="A362" s="46"/>
      <c r="B362" s="46"/>
      <c r="C362" s="46"/>
      <c r="D362" s="46"/>
    </row>
    <row r="363" spans="1:4" s="40" customFormat="1" ht="30" customHeight="1">
      <c r="A363" s="46"/>
      <c r="B363" s="46"/>
      <c r="C363" s="46"/>
      <c r="D363" s="46"/>
    </row>
    <row r="364" spans="1:4" s="40" customFormat="1" ht="30" customHeight="1">
      <c r="A364" s="46"/>
      <c r="B364" s="46"/>
      <c r="C364" s="46"/>
      <c r="D364" s="46"/>
    </row>
    <row r="365" spans="1:4" s="40" customFormat="1" ht="30" customHeight="1">
      <c r="A365" s="46"/>
      <c r="B365" s="46"/>
      <c r="C365" s="46"/>
      <c r="D365" s="46"/>
    </row>
    <row r="366" spans="1:4" s="40" customFormat="1" ht="30" customHeight="1">
      <c r="A366" s="46"/>
      <c r="B366" s="46"/>
      <c r="C366" s="46"/>
      <c r="D366" s="46"/>
    </row>
    <row r="367" spans="1:4" s="40" customFormat="1" ht="30" customHeight="1">
      <c r="A367" s="46"/>
      <c r="B367" s="46"/>
      <c r="C367" s="46"/>
      <c r="D367" s="46"/>
    </row>
    <row r="368" spans="1:4" s="40" customFormat="1" ht="30" customHeight="1">
      <c r="A368" s="46"/>
      <c r="B368" s="46"/>
      <c r="C368" s="46"/>
      <c r="D368" s="46"/>
    </row>
    <row r="369" spans="1:4" s="40" customFormat="1" ht="30" customHeight="1">
      <c r="A369" s="46"/>
      <c r="B369" s="46"/>
      <c r="C369" s="46"/>
      <c r="D369" s="46"/>
    </row>
    <row r="370" spans="1:4" s="40" customFormat="1" ht="30" customHeight="1">
      <c r="A370" s="46"/>
      <c r="B370" s="46"/>
      <c r="C370" s="46"/>
      <c r="D370" s="46"/>
    </row>
    <row r="371" spans="1:4" s="40" customFormat="1" ht="30" customHeight="1">
      <c r="A371" s="46"/>
      <c r="B371" s="46"/>
      <c r="C371" s="46"/>
      <c r="D371" s="46"/>
    </row>
    <row r="372" spans="1:4" s="40" customFormat="1" ht="30" customHeight="1">
      <c r="A372" s="46"/>
      <c r="B372" s="46"/>
      <c r="C372" s="46"/>
      <c r="D372" s="46"/>
    </row>
    <row r="373" spans="1:4" s="40" customFormat="1" ht="30" customHeight="1">
      <c r="A373" s="46"/>
      <c r="B373" s="46"/>
      <c r="C373" s="46"/>
      <c r="D373" s="46"/>
    </row>
    <row r="374" spans="1:4" s="40" customFormat="1" ht="30" customHeight="1">
      <c r="A374" s="46"/>
      <c r="B374" s="46"/>
      <c r="C374" s="46"/>
      <c r="D374" s="46"/>
    </row>
    <row r="375" spans="1:4" s="40" customFormat="1" ht="30" customHeight="1">
      <c r="A375" s="46"/>
      <c r="B375" s="46"/>
      <c r="C375" s="46"/>
      <c r="D375" s="46"/>
    </row>
    <row r="376" spans="1:4" s="40" customFormat="1" ht="30" customHeight="1">
      <c r="A376" s="46"/>
      <c r="B376" s="46"/>
      <c r="C376" s="46"/>
      <c r="D376" s="46"/>
    </row>
    <row r="377" spans="1:4" s="40" customFormat="1" ht="30" customHeight="1">
      <c r="A377" s="46"/>
      <c r="B377" s="46"/>
      <c r="C377" s="46"/>
      <c r="D377" s="46"/>
    </row>
    <row r="378" spans="1:4" s="40" customFormat="1" ht="30" customHeight="1">
      <c r="A378" s="46"/>
      <c r="B378" s="46"/>
      <c r="C378" s="46"/>
      <c r="D378" s="46"/>
    </row>
    <row r="379" spans="1:4" s="40" customFormat="1" ht="30" customHeight="1">
      <c r="A379" s="46"/>
      <c r="B379" s="46"/>
      <c r="C379" s="46"/>
      <c r="D379" s="46"/>
    </row>
    <row r="380" spans="1:4" s="40" customFormat="1" ht="30" customHeight="1">
      <c r="A380" s="46"/>
      <c r="B380" s="46"/>
      <c r="C380" s="46"/>
      <c r="D380" s="46"/>
    </row>
    <row r="381" spans="1:4" s="40" customFormat="1" ht="30" customHeight="1">
      <c r="A381" s="46"/>
      <c r="B381" s="46"/>
      <c r="C381" s="46"/>
      <c r="D381" s="46"/>
    </row>
    <row r="382" spans="1:4" s="40" customFormat="1" ht="30" customHeight="1">
      <c r="A382" s="46"/>
      <c r="B382" s="46"/>
      <c r="C382" s="46"/>
      <c r="D382" s="46"/>
    </row>
    <row r="383" spans="1:4" s="40" customFormat="1" ht="30" customHeight="1">
      <c r="A383" s="46"/>
      <c r="B383" s="46"/>
      <c r="C383" s="46"/>
      <c r="D383" s="46"/>
    </row>
    <row r="384" spans="1:4" s="40" customFormat="1" ht="30" customHeight="1">
      <c r="A384" s="46"/>
      <c r="B384" s="46"/>
      <c r="C384" s="46"/>
      <c r="D384" s="46"/>
    </row>
    <row r="385" spans="1:4" s="40" customFormat="1" ht="30" customHeight="1">
      <c r="A385" s="46"/>
      <c r="B385" s="46"/>
      <c r="C385" s="46"/>
      <c r="D385" s="46"/>
    </row>
    <row r="386" spans="1:4" s="40" customFormat="1" ht="30" customHeight="1">
      <c r="A386" s="46"/>
      <c r="B386" s="46"/>
      <c r="C386" s="46"/>
      <c r="D386" s="46"/>
    </row>
    <row r="387" spans="1:4" s="40" customFormat="1" ht="30" customHeight="1">
      <c r="A387" s="46"/>
      <c r="B387" s="46"/>
      <c r="C387" s="46"/>
      <c r="D387" s="46"/>
    </row>
    <row r="388" spans="1:4" s="40" customFormat="1" ht="30" customHeight="1">
      <c r="A388" s="46"/>
      <c r="B388" s="46"/>
      <c r="C388" s="46"/>
      <c r="D388" s="46"/>
    </row>
    <row r="389" spans="1:4" s="40" customFormat="1" ht="30" customHeight="1">
      <c r="A389" s="46"/>
      <c r="B389" s="46"/>
      <c r="C389" s="46"/>
      <c r="D389" s="46"/>
    </row>
    <row r="390" spans="1:4" s="40" customFormat="1" ht="30" customHeight="1">
      <c r="A390" s="46"/>
      <c r="B390" s="46"/>
      <c r="C390" s="46"/>
      <c r="D390" s="46"/>
    </row>
    <row r="391" spans="1:4" s="40" customFormat="1" ht="30" customHeight="1">
      <c r="A391" s="46"/>
      <c r="B391" s="46"/>
      <c r="C391" s="46"/>
      <c r="D391" s="46"/>
    </row>
    <row r="392" spans="1:4" s="40" customFormat="1" ht="30" customHeight="1">
      <c r="A392" s="46"/>
      <c r="B392" s="46"/>
      <c r="C392" s="46"/>
      <c r="D392" s="46"/>
    </row>
    <row r="393" spans="1:4" s="40" customFormat="1" ht="30" customHeight="1">
      <c r="A393" s="46"/>
      <c r="B393" s="46"/>
      <c r="C393" s="46"/>
      <c r="D393" s="46"/>
    </row>
    <row r="394" spans="1:4" s="40" customFormat="1" ht="30" customHeight="1">
      <c r="A394" s="46"/>
      <c r="B394" s="46"/>
      <c r="C394" s="46"/>
      <c r="D394" s="46"/>
    </row>
    <row r="395" spans="1:4" s="40" customFormat="1" ht="30" customHeight="1">
      <c r="A395" s="46"/>
      <c r="B395" s="46"/>
      <c r="C395" s="46"/>
      <c r="D395" s="46"/>
    </row>
    <row r="396" spans="1:4" s="40" customFormat="1" ht="30" customHeight="1">
      <c r="A396" s="46"/>
      <c r="B396" s="46"/>
      <c r="C396" s="46"/>
      <c r="D396" s="46"/>
    </row>
    <row r="397" spans="1:4" s="40" customFormat="1" ht="30" customHeight="1">
      <c r="A397" s="46"/>
      <c r="B397" s="46"/>
      <c r="C397" s="46"/>
      <c r="D397" s="46"/>
    </row>
    <row r="398" spans="1:4" s="40" customFormat="1" ht="30" customHeight="1">
      <c r="A398" s="46"/>
      <c r="B398" s="46"/>
      <c r="C398" s="46"/>
      <c r="D398" s="46"/>
    </row>
    <row r="399" spans="1:4" s="40" customFormat="1" ht="30" customHeight="1">
      <c r="A399" s="46"/>
      <c r="B399" s="46"/>
      <c r="C399" s="46"/>
      <c r="D399" s="46"/>
    </row>
    <row r="400" spans="1:4" s="40" customFormat="1" ht="30" customHeight="1">
      <c r="A400" s="46"/>
      <c r="B400" s="46"/>
      <c r="C400" s="46"/>
      <c r="D400" s="46"/>
    </row>
    <row r="401" spans="1:4" s="40" customFormat="1" ht="30" customHeight="1">
      <c r="A401" s="46"/>
      <c r="B401" s="46"/>
      <c r="C401" s="46"/>
      <c r="D401" s="46"/>
    </row>
    <row r="402" spans="1:4" s="40" customFormat="1" ht="30" customHeight="1">
      <c r="A402" s="46"/>
      <c r="B402" s="46"/>
      <c r="C402" s="46"/>
      <c r="D402" s="46"/>
    </row>
    <row r="403" spans="1:4" s="40" customFormat="1" ht="30" customHeight="1">
      <c r="A403" s="46"/>
      <c r="B403" s="46"/>
      <c r="C403" s="46"/>
      <c r="D403" s="46"/>
    </row>
    <row r="404" spans="1:4" s="40" customFormat="1" ht="30" customHeight="1">
      <c r="A404" s="46"/>
      <c r="B404" s="46"/>
      <c r="C404" s="46"/>
      <c r="D404" s="46"/>
    </row>
    <row r="405" spans="1:4" s="40" customFormat="1" ht="30" customHeight="1">
      <c r="A405" s="46"/>
      <c r="B405" s="46"/>
      <c r="C405" s="46"/>
      <c r="D405" s="46"/>
    </row>
    <row r="406" spans="1:4" s="40" customFormat="1" ht="30" customHeight="1">
      <c r="A406" s="46"/>
      <c r="B406" s="46"/>
      <c r="C406" s="46"/>
      <c r="D406" s="46"/>
    </row>
    <row r="407" spans="1:4" s="40" customFormat="1" ht="30" customHeight="1">
      <c r="A407" s="46"/>
      <c r="B407" s="46"/>
      <c r="C407" s="46"/>
      <c r="D407" s="46"/>
    </row>
    <row r="408" spans="1:4" s="40" customFormat="1" ht="30" customHeight="1">
      <c r="A408" s="46"/>
      <c r="B408" s="46"/>
      <c r="C408" s="46"/>
      <c r="D408" s="46"/>
    </row>
    <row r="409" spans="1:4" s="40" customFormat="1" ht="30" customHeight="1">
      <c r="A409" s="46"/>
      <c r="B409" s="46"/>
      <c r="C409" s="46"/>
      <c r="D409" s="46"/>
    </row>
    <row r="410" spans="1:4" s="40" customFormat="1" ht="30" customHeight="1">
      <c r="A410" s="46"/>
      <c r="B410" s="46"/>
      <c r="C410" s="46"/>
      <c r="D410" s="46"/>
    </row>
    <row r="411" spans="1:4" s="40" customFormat="1" ht="30" customHeight="1">
      <c r="A411" s="46"/>
      <c r="B411" s="46"/>
      <c r="C411" s="46"/>
      <c r="D411" s="46"/>
    </row>
    <row r="412" spans="1:4" s="40" customFormat="1" ht="30" customHeight="1">
      <c r="A412" s="46"/>
      <c r="B412" s="46"/>
      <c r="C412" s="46"/>
      <c r="D412" s="46"/>
    </row>
    <row r="413" spans="1:4" s="40" customFormat="1" ht="30" customHeight="1">
      <c r="A413" s="46"/>
      <c r="B413" s="46"/>
      <c r="C413" s="46"/>
      <c r="D413" s="46"/>
    </row>
    <row r="414" spans="1:4" s="40" customFormat="1" ht="30" customHeight="1">
      <c r="A414" s="46"/>
      <c r="B414" s="46"/>
      <c r="C414" s="46"/>
      <c r="D414" s="46"/>
    </row>
    <row r="415" spans="1:4" s="40" customFormat="1" ht="30" customHeight="1">
      <c r="A415" s="46"/>
      <c r="B415" s="46"/>
      <c r="C415" s="46"/>
      <c r="D415" s="46"/>
    </row>
    <row r="416" spans="1:4" s="40" customFormat="1" ht="30" customHeight="1">
      <c r="A416" s="46"/>
      <c r="B416" s="46"/>
      <c r="C416" s="46"/>
      <c r="D416" s="46"/>
    </row>
    <row r="417" spans="1:4" s="40" customFormat="1" ht="30" customHeight="1">
      <c r="A417" s="46"/>
      <c r="B417" s="46"/>
      <c r="C417" s="46"/>
      <c r="D417" s="46"/>
    </row>
    <row r="418" spans="1:4" s="40" customFormat="1" ht="30" customHeight="1">
      <c r="A418" s="46"/>
      <c r="B418" s="46"/>
      <c r="C418" s="46"/>
      <c r="D418" s="46"/>
    </row>
    <row r="419" spans="1:4" s="40" customFormat="1" ht="30" customHeight="1">
      <c r="A419" s="46"/>
      <c r="B419" s="46"/>
      <c r="C419" s="46"/>
      <c r="D419" s="46"/>
    </row>
    <row r="420" spans="1:4" s="40" customFormat="1" ht="30" customHeight="1">
      <c r="A420" s="46"/>
      <c r="B420" s="46"/>
      <c r="C420" s="46"/>
      <c r="D420" s="46"/>
    </row>
    <row r="421" spans="1:4" s="40" customFormat="1" ht="30" customHeight="1">
      <c r="A421" s="46"/>
      <c r="B421" s="46"/>
      <c r="C421" s="46"/>
      <c r="D421" s="46"/>
    </row>
    <row r="422" spans="1:4" s="40" customFormat="1" ht="30" customHeight="1">
      <c r="A422" s="46"/>
      <c r="B422" s="46"/>
      <c r="C422" s="46"/>
      <c r="D422" s="46"/>
    </row>
    <row r="423" spans="1:4" s="40" customFormat="1" ht="30" customHeight="1">
      <c r="A423" s="46"/>
      <c r="B423" s="46"/>
      <c r="C423" s="46"/>
      <c r="D423" s="46"/>
    </row>
    <row r="424" spans="1:4" s="40" customFormat="1" ht="30" customHeight="1">
      <c r="A424" s="46"/>
      <c r="B424" s="46"/>
      <c r="C424" s="46"/>
      <c r="D424" s="46"/>
    </row>
    <row r="425" spans="1:4" s="40" customFormat="1" ht="30" customHeight="1">
      <c r="A425" s="46"/>
      <c r="B425" s="46"/>
      <c r="C425" s="46"/>
      <c r="D425" s="46"/>
    </row>
    <row r="426" spans="1:4" s="40" customFormat="1" ht="30" customHeight="1">
      <c r="A426" s="46"/>
      <c r="B426" s="46"/>
      <c r="C426" s="46"/>
      <c r="D426" s="46"/>
    </row>
    <row r="427" spans="1:4" s="40" customFormat="1" ht="30" customHeight="1">
      <c r="A427" s="46"/>
      <c r="B427" s="46"/>
      <c r="C427" s="46"/>
      <c r="D427" s="46"/>
    </row>
    <row r="428" spans="1:4" s="40" customFormat="1" ht="30" customHeight="1">
      <c r="A428" s="46"/>
      <c r="B428" s="46"/>
      <c r="C428" s="46"/>
      <c r="D428" s="46"/>
    </row>
    <row r="429" spans="1:4" s="40" customFormat="1" ht="30" customHeight="1">
      <c r="A429" s="46"/>
      <c r="B429" s="46"/>
      <c r="C429" s="46"/>
      <c r="D429" s="46"/>
    </row>
    <row r="430" spans="1:4" s="40" customFormat="1" ht="30" customHeight="1">
      <c r="A430" s="46"/>
      <c r="B430" s="46"/>
      <c r="C430" s="46"/>
      <c r="D430" s="46"/>
    </row>
    <row r="431" spans="1:4" s="40" customFormat="1" ht="30" customHeight="1">
      <c r="A431" s="46"/>
      <c r="B431" s="46"/>
      <c r="C431" s="46"/>
      <c r="D431" s="46"/>
    </row>
    <row r="432" spans="1:4" s="40" customFormat="1" ht="30" customHeight="1">
      <c r="A432" s="46"/>
      <c r="B432" s="46"/>
      <c r="C432" s="46"/>
      <c r="D432" s="46"/>
    </row>
    <row r="433" spans="1:4" s="40" customFormat="1" ht="30" customHeight="1">
      <c r="A433" s="46"/>
      <c r="B433" s="46"/>
      <c r="C433" s="46"/>
      <c r="D433" s="46"/>
    </row>
    <row r="434" spans="1:4" s="40" customFormat="1" ht="30" customHeight="1">
      <c r="A434" s="46"/>
      <c r="B434" s="46"/>
      <c r="C434" s="46"/>
      <c r="D434" s="46"/>
    </row>
    <row r="435" spans="1:4" s="40" customFormat="1" ht="30" customHeight="1">
      <c r="A435" s="46"/>
      <c r="B435" s="46"/>
      <c r="C435" s="46"/>
      <c r="D435" s="46"/>
    </row>
    <row r="436" spans="1:4" s="40" customFormat="1" ht="30" customHeight="1">
      <c r="A436" s="46"/>
      <c r="B436" s="46"/>
      <c r="C436" s="46"/>
      <c r="D436" s="46"/>
    </row>
    <row r="437" spans="1:4" s="40" customFormat="1" ht="30" customHeight="1">
      <c r="A437" s="46"/>
      <c r="B437" s="46"/>
      <c r="C437" s="46"/>
      <c r="D437" s="46"/>
    </row>
    <row r="438" spans="1:4" s="40" customFormat="1" ht="30" customHeight="1">
      <c r="A438" s="46"/>
      <c r="B438" s="46"/>
      <c r="C438" s="46"/>
      <c r="D438" s="46"/>
    </row>
    <row r="439" spans="1:4" s="40" customFormat="1" ht="30" customHeight="1">
      <c r="A439" s="46"/>
      <c r="B439" s="46"/>
      <c r="C439" s="46"/>
      <c r="D439" s="46"/>
    </row>
    <row r="440" spans="1:4" s="40" customFormat="1" ht="30" customHeight="1">
      <c r="A440" s="46"/>
      <c r="B440" s="46"/>
      <c r="C440" s="46"/>
      <c r="D440" s="46"/>
    </row>
    <row r="441" spans="1:4" s="40" customFormat="1" ht="30" customHeight="1">
      <c r="A441" s="46"/>
      <c r="B441" s="46"/>
      <c r="C441" s="46"/>
      <c r="D441" s="46"/>
    </row>
    <row r="442" spans="1:4" s="40" customFormat="1" ht="30" customHeight="1">
      <c r="A442" s="46"/>
      <c r="B442" s="46"/>
      <c r="C442" s="46"/>
      <c r="D442" s="46"/>
    </row>
    <row r="443" spans="1:4" s="40" customFormat="1" ht="30" customHeight="1">
      <c r="A443" s="46"/>
      <c r="B443" s="46"/>
      <c r="C443" s="46"/>
      <c r="D443" s="46"/>
    </row>
    <row r="444" spans="1:4" s="40" customFormat="1" ht="30" customHeight="1">
      <c r="A444" s="46"/>
      <c r="B444" s="46"/>
      <c r="C444" s="46"/>
      <c r="D444" s="46"/>
    </row>
    <row r="445" spans="1:4" s="40" customFormat="1" ht="30" customHeight="1">
      <c r="A445" s="46"/>
      <c r="B445" s="46"/>
      <c r="C445" s="46"/>
      <c r="D445" s="46"/>
    </row>
    <row r="446" spans="1:4" s="40" customFormat="1" ht="30" customHeight="1">
      <c r="A446" s="46"/>
      <c r="B446" s="46"/>
      <c r="C446" s="46"/>
      <c r="D446" s="46"/>
    </row>
    <row r="447" spans="1:4" s="40" customFormat="1" ht="30" customHeight="1">
      <c r="A447" s="46"/>
      <c r="B447" s="46"/>
      <c r="C447" s="46"/>
      <c r="D447" s="46"/>
    </row>
    <row r="448" spans="1:4" s="40" customFormat="1" ht="30" customHeight="1">
      <c r="A448" s="46"/>
      <c r="B448" s="46"/>
      <c r="C448" s="46"/>
      <c r="D448" s="46"/>
    </row>
    <row r="449" spans="1:4" s="40" customFormat="1" ht="30" customHeight="1">
      <c r="A449" s="46"/>
      <c r="B449" s="46"/>
      <c r="C449" s="46"/>
      <c r="D449" s="46"/>
    </row>
    <row r="450" spans="1:4" s="40" customFormat="1" ht="30" customHeight="1">
      <c r="A450" s="46"/>
      <c r="B450" s="46"/>
      <c r="C450" s="46"/>
      <c r="D450" s="46"/>
    </row>
    <row r="451" spans="1:4" s="40" customFormat="1" ht="30" customHeight="1">
      <c r="A451" s="46"/>
      <c r="B451" s="46"/>
      <c r="C451" s="46"/>
      <c r="D451" s="46"/>
    </row>
    <row r="452" spans="1:4" s="40" customFormat="1" ht="30" customHeight="1">
      <c r="A452" s="46"/>
      <c r="B452" s="46"/>
      <c r="C452" s="46"/>
      <c r="D452" s="46"/>
    </row>
    <row r="453" spans="1:4" s="40" customFormat="1" ht="30" customHeight="1">
      <c r="A453" s="46"/>
      <c r="B453" s="46"/>
      <c r="C453" s="46"/>
      <c r="D453" s="46"/>
    </row>
    <row r="454" spans="1:4" s="40" customFormat="1" ht="30" customHeight="1">
      <c r="A454" s="46"/>
      <c r="B454" s="46"/>
      <c r="C454" s="46"/>
      <c r="D454" s="46"/>
    </row>
    <row r="455" spans="1:4" s="40" customFormat="1" ht="30" customHeight="1">
      <c r="A455" s="46"/>
      <c r="B455" s="46"/>
      <c r="C455" s="46"/>
      <c r="D455" s="46"/>
    </row>
    <row r="456" spans="1:4" s="40" customFormat="1" ht="30" customHeight="1">
      <c r="A456" s="46"/>
      <c r="B456" s="46"/>
      <c r="C456" s="46"/>
      <c r="D456" s="46"/>
    </row>
    <row r="457" spans="1:4" s="40" customFormat="1" ht="30" customHeight="1">
      <c r="A457" s="46"/>
      <c r="B457" s="46"/>
      <c r="C457" s="46"/>
      <c r="D457" s="46"/>
    </row>
    <row r="458" spans="1:4" s="40" customFormat="1" ht="30" customHeight="1">
      <c r="A458" s="46"/>
      <c r="B458" s="46"/>
      <c r="C458" s="46"/>
      <c r="D458" s="46"/>
    </row>
    <row r="459" spans="1:4" s="40" customFormat="1" ht="30" customHeight="1">
      <c r="A459" s="46"/>
      <c r="B459" s="46"/>
      <c r="C459" s="46"/>
      <c r="D459" s="46"/>
    </row>
    <row r="460" spans="1:4" s="40" customFormat="1" ht="30" customHeight="1">
      <c r="A460" s="46"/>
      <c r="B460" s="46"/>
      <c r="C460" s="46"/>
      <c r="D460" s="46"/>
    </row>
    <row r="461" spans="1:4" s="40" customFormat="1" ht="30" customHeight="1">
      <c r="A461" s="46"/>
      <c r="B461" s="46"/>
      <c r="C461" s="46"/>
      <c r="D461" s="46"/>
    </row>
    <row r="462" spans="1:4" s="40" customFormat="1" ht="30" customHeight="1">
      <c r="A462" s="46"/>
      <c r="B462" s="46"/>
      <c r="C462" s="46"/>
      <c r="D462" s="46"/>
    </row>
    <row r="463" spans="1:4" s="40" customFormat="1" ht="30" customHeight="1">
      <c r="A463" s="46"/>
      <c r="B463" s="46"/>
      <c r="C463" s="46"/>
      <c r="D463" s="46"/>
    </row>
    <row r="464" spans="1:4" s="40" customFormat="1" ht="30" customHeight="1">
      <c r="A464" s="46"/>
      <c r="B464" s="46"/>
      <c r="C464" s="46"/>
      <c r="D464" s="46"/>
    </row>
    <row r="465" spans="1:4" s="40" customFormat="1" ht="30" customHeight="1">
      <c r="A465" s="46"/>
      <c r="B465" s="46"/>
      <c r="C465" s="46"/>
      <c r="D465" s="46"/>
    </row>
    <row r="466" spans="1:4" s="40" customFormat="1" ht="30" customHeight="1">
      <c r="A466" s="46"/>
      <c r="B466" s="46"/>
      <c r="C466" s="46"/>
      <c r="D466" s="46"/>
    </row>
    <row r="467" spans="1:4" s="40" customFormat="1" ht="30" customHeight="1">
      <c r="A467" s="46"/>
      <c r="B467" s="46"/>
      <c r="C467" s="46"/>
      <c r="D467" s="46"/>
    </row>
    <row r="468" spans="1:4" s="40" customFormat="1" ht="30" customHeight="1">
      <c r="A468" s="46"/>
      <c r="B468" s="46"/>
      <c r="C468" s="46"/>
      <c r="D468" s="46"/>
    </row>
    <row r="469" spans="1:4" s="40" customFormat="1" ht="30" customHeight="1">
      <c r="A469" s="46"/>
      <c r="B469" s="46"/>
      <c r="C469" s="46"/>
      <c r="D469" s="46"/>
    </row>
    <row r="470" spans="1:4" s="40" customFormat="1" ht="30" customHeight="1">
      <c r="A470" s="46"/>
      <c r="B470" s="46"/>
      <c r="C470" s="46"/>
      <c r="D470" s="46"/>
    </row>
    <row r="471" spans="1:4" s="40" customFormat="1" ht="30" customHeight="1">
      <c r="A471" s="46"/>
      <c r="B471" s="46"/>
      <c r="C471" s="46"/>
      <c r="D471" s="46"/>
    </row>
    <row r="472" spans="1:4" s="40" customFormat="1" ht="30" customHeight="1">
      <c r="A472" s="46"/>
      <c r="B472" s="46"/>
      <c r="C472" s="46"/>
      <c r="D472" s="46"/>
    </row>
    <row r="473" spans="1:4" s="40" customFormat="1" ht="30" customHeight="1">
      <c r="A473" s="46"/>
      <c r="B473" s="46"/>
      <c r="C473" s="46"/>
      <c r="D473" s="46"/>
    </row>
    <row r="474" spans="1:4" s="40" customFormat="1" ht="30" customHeight="1">
      <c r="A474" s="46"/>
      <c r="B474" s="46"/>
      <c r="C474" s="46"/>
      <c r="D474" s="46"/>
    </row>
    <row r="475" spans="1:4" s="40" customFormat="1" ht="30" customHeight="1">
      <c r="A475" s="46"/>
      <c r="B475" s="46"/>
      <c r="C475" s="46"/>
      <c r="D475" s="46"/>
    </row>
    <row r="476" spans="1:4" s="40" customFormat="1" ht="30" customHeight="1">
      <c r="A476" s="46"/>
      <c r="B476" s="46"/>
      <c r="C476" s="46"/>
      <c r="D476" s="46"/>
    </row>
    <row r="477" spans="1:4" s="40" customFormat="1" ht="30" customHeight="1">
      <c r="A477" s="46"/>
      <c r="B477" s="46"/>
      <c r="C477" s="46"/>
      <c r="D477" s="46"/>
    </row>
    <row r="478" spans="1:4" s="40" customFormat="1" ht="30" customHeight="1">
      <c r="A478" s="46"/>
      <c r="B478" s="46"/>
      <c r="C478" s="46"/>
      <c r="D478" s="46"/>
    </row>
    <row r="479" spans="1:4" s="40" customFormat="1" ht="30" customHeight="1">
      <c r="A479" s="46"/>
      <c r="B479" s="46"/>
      <c r="C479" s="46"/>
      <c r="D479" s="46"/>
    </row>
    <row r="480" spans="1:4" s="40" customFormat="1" ht="30" customHeight="1">
      <c r="A480" s="46"/>
      <c r="B480" s="46"/>
      <c r="C480" s="46"/>
      <c r="D480" s="46"/>
    </row>
    <row r="481" spans="1:4" s="40" customFormat="1" ht="30" customHeight="1">
      <c r="A481" s="46"/>
      <c r="B481" s="46"/>
      <c r="C481" s="46"/>
      <c r="D481" s="46"/>
    </row>
    <row r="482" spans="1:4" s="40" customFormat="1" ht="30" customHeight="1">
      <c r="A482" s="46"/>
      <c r="B482" s="46"/>
      <c r="C482" s="46"/>
      <c r="D482" s="46"/>
    </row>
    <row r="483" spans="1:4" s="40" customFormat="1" ht="30" customHeight="1">
      <c r="A483" s="46"/>
      <c r="B483" s="46"/>
      <c r="C483" s="46"/>
      <c r="D483" s="46"/>
    </row>
    <row r="484" spans="1:4" s="40" customFormat="1" ht="30" customHeight="1">
      <c r="A484" s="46"/>
      <c r="B484" s="46"/>
      <c r="C484" s="46"/>
      <c r="D484" s="46"/>
    </row>
    <row r="485" spans="1:4" s="40" customFormat="1" ht="30" customHeight="1">
      <c r="A485" s="46"/>
      <c r="B485" s="46"/>
      <c r="C485" s="46"/>
      <c r="D485" s="46"/>
    </row>
    <row r="486" spans="1:4" s="40" customFormat="1" ht="30" customHeight="1">
      <c r="A486" s="46"/>
      <c r="B486" s="46"/>
      <c r="C486" s="46"/>
      <c r="D486" s="46"/>
    </row>
    <row r="487" spans="1:4" s="40" customFormat="1" ht="30" customHeight="1">
      <c r="A487" s="46"/>
      <c r="B487" s="46"/>
      <c r="C487" s="46"/>
      <c r="D487" s="46"/>
    </row>
    <row r="488" spans="1:4" s="40" customFormat="1" ht="30" customHeight="1">
      <c r="A488" s="46"/>
      <c r="B488" s="46"/>
      <c r="C488" s="46"/>
      <c r="D488" s="46"/>
    </row>
    <row r="489" spans="1:4" s="40" customFormat="1" ht="30" customHeight="1">
      <c r="A489" s="46"/>
      <c r="B489" s="46"/>
      <c r="C489" s="46"/>
      <c r="D489" s="46"/>
    </row>
    <row r="490" spans="1:4" s="40" customFormat="1" ht="30" customHeight="1">
      <c r="A490" s="46"/>
      <c r="B490" s="46"/>
      <c r="C490" s="46"/>
      <c r="D490" s="46"/>
    </row>
    <row r="491" spans="1:4" s="40" customFormat="1" ht="30" customHeight="1">
      <c r="A491" s="46"/>
      <c r="B491" s="46"/>
      <c r="C491" s="46"/>
      <c r="D491" s="46"/>
    </row>
    <row r="492" spans="1:4" s="40" customFormat="1" ht="30" customHeight="1">
      <c r="A492" s="46"/>
      <c r="B492" s="46"/>
      <c r="C492" s="46"/>
      <c r="D492" s="46"/>
    </row>
    <row r="493" spans="1:4" s="40" customFormat="1" ht="30" customHeight="1">
      <c r="A493" s="46"/>
      <c r="B493" s="46"/>
      <c r="C493" s="46"/>
      <c r="D493" s="46"/>
    </row>
    <row r="494" spans="1:4" s="40" customFormat="1" ht="30" customHeight="1">
      <c r="A494" s="46"/>
      <c r="B494" s="46"/>
      <c r="C494" s="46"/>
      <c r="D494" s="46"/>
    </row>
    <row r="495" spans="1:4" s="40" customFormat="1" ht="30" customHeight="1">
      <c r="A495" s="46"/>
      <c r="B495" s="46"/>
      <c r="C495" s="46"/>
      <c r="D495" s="46"/>
    </row>
    <row r="496" spans="1:4" s="40" customFormat="1" ht="30" customHeight="1">
      <c r="A496" s="46"/>
      <c r="B496" s="46"/>
      <c r="C496" s="46"/>
      <c r="D496" s="46"/>
    </row>
    <row r="497" spans="1:4" s="40" customFormat="1" ht="30" customHeight="1">
      <c r="A497" s="46"/>
      <c r="B497" s="46"/>
      <c r="C497" s="46"/>
      <c r="D497" s="46"/>
    </row>
    <row r="498" spans="1:4" s="40" customFormat="1" ht="30" customHeight="1">
      <c r="A498" s="46"/>
      <c r="B498" s="46"/>
      <c r="C498" s="46"/>
      <c r="D498" s="46"/>
    </row>
    <row r="499" spans="1:4" s="40" customFormat="1" ht="30" customHeight="1">
      <c r="A499" s="46"/>
      <c r="B499" s="46"/>
      <c r="C499" s="46"/>
      <c r="D499" s="46"/>
    </row>
    <row r="500" spans="1:4" s="40" customFormat="1" ht="30" customHeight="1">
      <c r="A500" s="46"/>
      <c r="B500" s="46"/>
      <c r="C500" s="46"/>
      <c r="D500" s="46"/>
    </row>
    <row r="501" spans="1:4" s="40" customFormat="1" ht="30" customHeight="1">
      <c r="A501" s="46"/>
      <c r="B501" s="46"/>
      <c r="C501" s="46"/>
      <c r="D501" s="46"/>
    </row>
    <row r="502" spans="1:4" s="40" customFormat="1" ht="30" customHeight="1">
      <c r="A502" s="46"/>
      <c r="B502" s="46"/>
      <c r="C502" s="46"/>
      <c r="D502" s="46"/>
    </row>
    <row r="503" spans="1:4" s="40" customFormat="1" ht="30" customHeight="1">
      <c r="A503" s="46"/>
      <c r="B503" s="46"/>
      <c r="C503" s="46"/>
      <c r="D503" s="46"/>
    </row>
    <row r="504" spans="1:4" s="40" customFormat="1" ht="30" customHeight="1">
      <c r="A504" s="46"/>
      <c r="B504" s="46"/>
      <c r="C504" s="46"/>
      <c r="D504" s="46"/>
    </row>
    <row r="505" spans="1:4" s="40" customFormat="1" ht="30" customHeight="1">
      <c r="A505" s="46"/>
      <c r="B505" s="46"/>
      <c r="C505" s="46"/>
      <c r="D505" s="46"/>
    </row>
    <row r="506" spans="1:4" s="40" customFormat="1" ht="30" customHeight="1">
      <c r="A506" s="46"/>
      <c r="B506" s="46"/>
      <c r="C506" s="46"/>
      <c r="D506" s="46"/>
    </row>
    <row r="507" spans="1:4" s="40" customFormat="1" ht="30" customHeight="1">
      <c r="A507" s="46"/>
      <c r="B507" s="46"/>
      <c r="C507" s="46"/>
      <c r="D507" s="46"/>
    </row>
    <row r="508" spans="1:4" s="40" customFormat="1" ht="30" customHeight="1">
      <c r="A508" s="46"/>
      <c r="B508" s="46"/>
      <c r="C508" s="46"/>
      <c r="D508" s="46"/>
    </row>
    <row r="509" spans="1:4" s="40" customFormat="1" ht="30" customHeight="1">
      <c r="A509" s="46"/>
      <c r="B509" s="46"/>
      <c r="C509" s="46"/>
      <c r="D509" s="46"/>
    </row>
    <row r="510" spans="1:4" s="40" customFormat="1" ht="30" customHeight="1">
      <c r="A510" s="46"/>
      <c r="B510" s="46"/>
      <c r="C510" s="46"/>
      <c r="D510" s="46"/>
    </row>
    <row r="511" spans="1:4" s="40" customFormat="1" ht="30" customHeight="1">
      <c r="A511" s="46"/>
      <c r="B511" s="46"/>
      <c r="C511" s="46"/>
      <c r="D511" s="46"/>
    </row>
    <row r="512" spans="1:4" s="40" customFormat="1" ht="30" customHeight="1">
      <c r="A512" s="46"/>
      <c r="B512" s="46"/>
      <c r="C512" s="46"/>
      <c r="D512" s="46"/>
    </row>
    <row r="513" spans="1:4" s="40" customFormat="1" ht="30" customHeight="1">
      <c r="A513" s="46"/>
      <c r="B513" s="46"/>
      <c r="C513" s="46"/>
      <c r="D513" s="46"/>
    </row>
    <row r="514" spans="1:4" s="40" customFormat="1" ht="30" customHeight="1">
      <c r="A514" s="46"/>
      <c r="B514" s="46"/>
      <c r="C514" s="46"/>
      <c r="D514" s="46"/>
    </row>
    <row r="515" spans="1:4" s="40" customFormat="1" ht="30" customHeight="1">
      <c r="A515" s="46"/>
      <c r="B515" s="46"/>
      <c r="C515" s="46"/>
      <c r="D515" s="46"/>
    </row>
    <row r="516" spans="1:4" s="40" customFormat="1" ht="30" customHeight="1">
      <c r="A516" s="46"/>
      <c r="B516" s="46"/>
      <c r="C516" s="46"/>
      <c r="D516" s="46"/>
    </row>
    <row r="517" spans="1:4" s="40" customFormat="1" ht="30" customHeight="1">
      <c r="A517" s="46"/>
      <c r="B517" s="46"/>
      <c r="C517" s="46"/>
      <c r="D517" s="46"/>
    </row>
    <row r="518" spans="1:4" s="40" customFormat="1" ht="30" customHeight="1">
      <c r="A518" s="46"/>
      <c r="B518" s="46"/>
      <c r="C518" s="46"/>
      <c r="D518" s="46"/>
    </row>
    <row r="519" spans="1:4" s="40" customFormat="1" ht="30" customHeight="1">
      <c r="A519" s="46"/>
      <c r="B519" s="46"/>
      <c r="C519" s="46"/>
      <c r="D519" s="46"/>
    </row>
    <row r="520" spans="1:4" s="40" customFormat="1" ht="30" customHeight="1">
      <c r="A520" s="46"/>
      <c r="B520" s="46"/>
      <c r="C520" s="46"/>
      <c r="D520" s="46"/>
    </row>
    <row r="521" spans="1:4" s="40" customFormat="1" ht="30" customHeight="1">
      <c r="A521" s="46"/>
      <c r="B521" s="46"/>
      <c r="C521" s="46"/>
      <c r="D521" s="46"/>
    </row>
    <row r="522" spans="1:4" s="40" customFormat="1" ht="30" customHeight="1">
      <c r="A522" s="46"/>
      <c r="B522" s="46"/>
      <c r="C522" s="46"/>
      <c r="D522" s="46"/>
    </row>
    <row r="523" spans="1:4" s="40" customFormat="1" ht="30" customHeight="1">
      <c r="A523" s="46"/>
      <c r="B523" s="46"/>
      <c r="C523" s="46"/>
      <c r="D523" s="46"/>
    </row>
    <row r="524" spans="1:4" s="40" customFormat="1" ht="30" customHeight="1">
      <c r="A524" s="46"/>
      <c r="B524" s="46"/>
      <c r="C524" s="46"/>
      <c r="D524" s="46"/>
    </row>
    <row r="525" spans="1:4" s="40" customFormat="1" ht="30" customHeight="1">
      <c r="A525" s="46"/>
      <c r="B525" s="46"/>
      <c r="C525" s="46"/>
      <c r="D525" s="46"/>
    </row>
    <row r="526" spans="1:4" s="40" customFormat="1" ht="30" customHeight="1">
      <c r="A526" s="46"/>
      <c r="B526" s="46"/>
      <c r="C526" s="46"/>
      <c r="D526" s="46"/>
    </row>
    <row r="527" spans="1:4" s="40" customFormat="1" ht="30" customHeight="1">
      <c r="A527" s="46"/>
      <c r="B527" s="46"/>
      <c r="C527" s="46"/>
      <c r="D527" s="46"/>
    </row>
    <row r="528" spans="1:4" s="40" customFormat="1" ht="30" customHeight="1">
      <c r="A528" s="46"/>
      <c r="B528" s="46"/>
      <c r="C528" s="46"/>
      <c r="D528" s="46"/>
    </row>
    <row r="529" spans="1:4" s="40" customFormat="1" ht="30" customHeight="1">
      <c r="A529" s="46"/>
      <c r="B529" s="46"/>
      <c r="C529" s="46"/>
      <c r="D529" s="46"/>
    </row>
    <row r="530" spans="1:4" s="40" customFormat="1" ht="30" customHeight="1">
      <c r="A530" s="46"/>
      <c r="B530" s="46"/>
      <c r="C530" s="46"/>
      <c r="D530" s="46"/>
    </row>
    <row r="531" spans="1:4" s="40" customFormat="1" ht="30" customHeight="1">
      <c r="A531" s="46"/>
      <c r="B531" s="46"/>
      <c r="C531" s="46"/>
      <c r="D531" s="46"/>
    </row>
    <row r="532" spans="1:4" s="40" customFormat="1" ht="30" customHeight="1">
      <c r="A532" s="46"/>
      <c r="B532" s="46"/>
      <c r="C532" s="46"/>
      <c r="D532" s="46"/>
    </row>
    <row r="533" spans="1:4" s="40" customFormat="1" ht="30" customHeight="1">
      <c r="A533" s="46"/>
      <c r="B533" s="46"/>
      <c r="C533" s="46"/>
      <c r="D533" s="46"/>
    </row>
    <row r="534" spans="1:4" s="40" customFormat="1" ht="30" customHeight="1">
      <c r="A534" s="46"/>
      <c r="B534" s="46"/>
      <c r="C534" s="46"/>
      <c r="D534" s="46"/>
    </row>
    <row r="535" spans="1:4" s="40" customFormat="1" ht="30" customHeight="1">
      <c r="A535" s="46"/>
      <c r="B535" s="46"/>
      <c r="C535" s="46"/>
      <c r="D535" s="46"/>
    </row>
    <row r="536" spans="1:4" s="40" customFormat="1" ht="30" customHeight="1">
      <c r="A536" s="46"/>
      <c r="B536" s="46"/>
      <c r="C536" s="46"/>
      <c r="D536" s="46"/>
    </row>
    <row r="537" spans="1:4" s="40" customFormat="1" ht="30" customHeight="1">
      <c r="A537" s="46"/>
      <c r="B537" s="46"/>
      <c r="C537" s="46"/>
      <c r="D537" s="46"/>
    </row>
    <row r="538" spans="1:4" s="40" customFormat="1" ht="30" customHeight="1">
      <c r="A538" s="46"/>
      <c r="B538" s="46"/>
      <c r="C538" s="46"/>
      <c r="D538" s="46"/>
    </row>
    <row r="539" spans="1:4" s="40" customFormat="1" ht="30" customHeight="1">
      <c r="A539" s="46"/>
      <c r="B539" s="46"/>
      <c r="C539" s="46"/>
      <c r="D539" s="46"/>
    </row>
    <row r="540" spans="1:4" s="40" customFormat="1" ht="30" customHeight="1">
      <c r="A540" s="46"/>
      <c r="B540" s="46"/>
      <c r="C540" s="46"/>
      <c r="D540" s="46"/>
    </row>
    <row r="541" spans="1:4" s="40" customFormat="1" ht="30" customHeight="1">
      <c r="A541" s="46"/>
      <c r="B541" s="46"/>
      <c r="C541" s="46"/>
      <c r="D541" s="46"/>
    </row>
    <row r="542" spans="1:4" s="40" customFormat="1" ht="30" customHeight="1">
      <c r="A542" s="46"/>
      <c r="B542" s="46"/>
      <c r="C542" s="46"/>
      <c r="D542" s="46"/>
    </row>
    <row r="543" spans="1:4" s="40" customFormat="1" ht="30" customHeight="1">
      <c r="A543" s="46"/>
      <c r="B543" s="46"/>
      <c r="C543" s="46"/>
      <c r="D543" s="46"/>
    </row>
    <row r="544" spans="1:4" s="40" customFormat="1" ht="30" customHeight="1">
      <c r="A544" s="46"/>
      <c r="B544" s="46"/>
      <c r="C544" s="46"/>
      <c r="D544" s="46"/>
    </row>
    <row r="545" spans="1:4" s="40" customFormat="1" ht="30" customHeight="1">
      <c r="A545" s="46"/>
      <c r="B545" s="46"/>
      <c r="C545" s="46"/>
      <c r="D545" s="46"/>
    </row>
    <row r="546" spans="1:4" s="40" customFormat="1" ht="30" customHeight="1">
      <c r="A546" s="46"/>
      <c r="B546" s="46"/>
      <c r="C546" s="46"/>
      <c r="D546" s="46"/>
    </row>
    <row r="547" spans="1:4" s="40" customFormat="1" ht="30" customHeight="1">
      <c r="A547" s="46"/>
      <c r="B547" s="46"/>
      <c r="C547" s="46"/>
      <c r="D547" s="46"/>
    </row>
    <row r="548" spans="1:4" s="40" customFormat="1" ht="30" customHeight="1">
      <c r="A548" s="46"/>
      <c r="B548" s="46"/>
      <c r="C548" s="46"/>
      <c r="D548" s="46"/>
    </row>
    <row r="549" spans="1:4" s="40" customFormat="1" ht="30" customHeight="1">
      <c r="A549" s="46"/>
      <c r="B549" s="46"/>
      <c r="C549" s="46"/>
      <c r="D549" s="46"/>
    </row>
    <row r="550" spans="1:4" s="40" customFormat="1" ht="30" customHeight="1">
      <c r="A550" s="46"/>
      <c r="B550" s="46"/>
      <c r="C550" s="46"/>
      <c r="D550" s="46"/>
    </row>
    <row r="551" spans="1:4" s="40" customFormat="1" ht="30" customHeight="1">
      <c r="A551" s="46"/>
      <c r="B551" s="46"/>
      <c r="C551" s="46"/>
      <c r="D551" s="46"/>
    </row>
    <row r="552" spans="1:4" s="40" customFormat="1" ht="30" customHeight="1">
      <c r="A552" s="46"/>
      <c r="B552" s="46"/>
      <c r="C552" s="46"/>
      <c r="D552" s="46"/>
    </row>
    <row r="553" spans="1:4" s="40" customFormat="1" ht="30" customHeight="1">
      <c r="A553" s="46"/>
      <c r="B553" s="46"/>
      <c r="C553" s="46"/>
      <c r="D553" s="46"/>
    </row>
    <row r="554" spans="1:4" s="40" customFormat="1" ht="30" customHeight="1">
      <c r="A554" s="46"/>
      <c r="B554" s="46"/>
      <c r="C554" s="46"/>
      <c r="D554" s="46"/>
    </row>
    <row r="555" spans="1:4" s="40" customFormat="1" ht="30" customHeight="1">
      <c r="A555" s="46"/>
      <c r="B555" s="46"/>
      <c r="C555" s="46"/>
      <c r="D555" s="46"/>
    </row>
    <row r="556" spans="1:4" s="40" customFormat="1" ht="30" customHeight="1">
      <c r="A556" s="46"/>
      <c r="B556" s="46"/>
      <c r="C556" s="46"/>
      <c r="D556" s="46"/>
    </row>
    <row r="557" spans="1:4" s="40" customFormat="1" ht="30" customHeight="1">
      <c r="A557" s="46"/>
      <c r="B557" s="46"/>
      <c r="C557" s="46"/>
      <c r="D557" s="46"/>
    </row>
    <row r="558" spans="1:4" s="40" customFormat="1" ht="30" customHeight="1">
      <c r="A558" s="46"/>
      <c r="B558" s="46"/>
      <c r="C558" s="46"/>
      <c r="D558" s="46"/>
    </row>
    <row r="559" spans="1:4" s="40" customFormat="1" ht="30" customHeight="1">
      <c r="A559" s="46"/>
      <c r="B559" s="46"/>
      <c r="C559" s="46"/>
      <c r="D559" s="46"/>
    </row>
    <row r="560" spans="1:4" s="40" customFormat="1" ht="30" customHeight="1">
      <c r="A560" s="46"/>
      <c r="B560" s="46"/>
      <c r="C560" s="46"/>
      <c r="D560" s="46"/>
    </row>
    <row r="561" spans="1:4" s="40" customFormat="1" ht="30" customHeight="1">
      <c r="A561" s="46"/>
      <c r="B561" s="46"/>
      <c r="C561" s="46"/>
      <c r="D561" s="46"/>
    </row>
    <row r="562" spans="1:4" s="40" customFormat="1" ht="30" customHeight="1">
      <c r="A562" s="46"/>
      <c r="B562" s="46"/>
      <c r="C562" s="46"/>
      <c r="D562" s="46"/>
    </row>
    <row r="563" spans="1:4" s="40" customFormat="1" ht="30" customHeight="1">
      <c r="A563" s="46"/>
      <c r="B563" s="46"/>
      <c r="C563" s="46"/>
      <c r="D563" s="46"/>
    </row>
    <row r="564" spans="1:4" s="40" customFormat="1" ht="30" customHeight="1">
      <c r="A564" s="46"/>
      <c r="B564" s="46"/>
      <c r="C564" s="46"/>
      <c r="D564" s="46"/>
    </row>
    <row r="565" spans="1:4" s="40" customFormat="1" ht="30" customHeight="1">
      <c r="A565" s="46"/>
      <c r="B565" s="46"/>
      <c r="C565" s="46"/>
      <c r="D565" s="46"/>
    </row>
    <row r="566" spans="1:4" s="40" customFormat="1" ht="30" customHeight="1">
      <c r="A566" s="46"/>
      <c r="B566" s="46"/>
      <c r="C566" s="46"/>
      <c r="D566" s="46"/>
    </row>
    <row r="567" spans="1:4" s="40" customFormat="1" ht="30" customHeight="1">
      <c r="A567" s="46"/>
      <c r="B567" s="46"/>
      <c r="C567" s="46"/>
      <c r="D567" s="46"/>
    </row>
    <row r="568" spans="1:4" s="40" customFormat="1" ht="30" customHeight="1">
      <c r="A568" s="46"/>
      <c r="B568" s="46"/>
      <c r="C568" s="46"/>
      <c r="D568" s="46"/>
    </row>
    <row r="569" spans="1:4" s="40" customFormat="1" ht="30" customHeight="1">
      <c r="A569" s="46"/>
      <c r="B569" s="46"/>
      <c r="C569" s="46"/>
      <c r="D569" s="46"/>
    </row>
    <row r="570" spans="1:4" s="40" customFormat="1" ht="30" customHeight="1">
      <c r="A570" s="46"/>
      <c r="B570" s="46"/>
      <c r="C570" s="46"/>
      <c r="D570" s="46"/>
    </row>
    <row r="571" spans="1:4" s="40" customFormat="1" ht="30" customHeight="1">
      <c r="A571" s="46"/>
      <c r="B571" s="46"/>
      <c r="C571" s="46"/>
      <c r="D571" s="46"/>
    </row>
    <row r="572" spans="1:4" s="40" customFormat="1" ht="30" customHeight="1">
      <c r="A572" s="46"/>
      <c r="B572" s="46"/>
      <c r="C572" s="46"/>
      <c r="D572" s="46"/>
    </row>
    <row r="573" spans="1:4" s="40" customFormat="1" ht="30" customHeight="1">
      <c r="A573" s="46"/>
      <c r="B573" s="46"/>
      <c r="C573" s="46"/>
      <c r="D573" s="46"/>
    </row>
    <row r="574" spans="1:4" s="40" customFormat="1" ht="30" customHeight="1">
      <c r="A574" s="46"/>
      <c r="B574" s="46"/>
      <c r="C574" s="46"/>
      <c r="D574" s="46"/>
    </row>
    <row r="575" spans="1:4" s="40" customFormat="1" ht="30" customHeight="1">
      <c r="A575" s="46"/>
      <c r="B575" s="46"/>
      <c r="C575" s="46"/>
      <c r="D575" s="46"/>
    </row>
    <row r="576" spans="1:4" s="40" customFormat="1" ht="30" customHeight="1">
      <c r="A576" s="46"/>
      <c r="B576" s="46"/>
      <c r="C576" s="46"/>
      <c r="D576" s="46"/>
    </row>
    <row r="577" spans="1:4" s="40" customFormat="1" ht="30" customHeight="1">
      <c r="A577" s="46"/>
      <c r="B577" s="46"/>
      <c r="C577" s="46"/>
      <c r="D577" s="46"/>
    </row>
    <row r="578" spans="1:4" s="40" customFormat="1" ht="30" customHeight="1">
      <c r="A578" s="46"/>
      <c r="B578" s="46"/>
      <c r="C578" s="46"/>
      <c r="D578" s="46"/>
    </row>
    <row r="579" spans="1:4" s="40" customFormat="1" ht="30" customHeight="1">
      <c r="A579" s="46"/>
      <c r="B579" s="46"/>
      <c r="C579" s="46"/>
      <c r="D579" s="46"/>
    </row>
    <row r="580" spans="1:4" s="40" customFormat="1" ht="30" customHeight="1">
      <c r="A580" s="46"/>
      <c r="B580" s="46"/>
      <c r="C580" s="46"/>
      <c r="D580" s="46"/>
    </row>
    <row r="581" spans="1:4" s="40" customFormat="1" ht="30" customHeight="1">
      <c r="A581" s="46"/>
      <c r="B581" s="46"/>
      <c r="C581" s="46"/>
      <c r="D581" s="46"/>
    </row>
    <row r="582" spans="1:4" s="40" customFormat="1" ht="30" customHeight="1">
      <c r="A582" s="46"/>
      <c r="B582" s="46"/>
      <c r="C582" s="46"/>
      <c r="D582" s="46"/>
    </row>
    <row r="583" spans="1:4" s="40" customFormat="1" ht="30" customHeight="1">
      <c r="A583" s="46"/>
      <c r="B583" s="46"/>
      <c r="C583" s="46"/>
      <c r="D583" s="46"/>
    </row>
    <row r="584" spans="1:4" s="40" customFormat="1" ht="30" customHeight="1">
      <c r="A584" s="46"/>
      <c r="B584" s="46"/>
      <c r="C584" s="46"/>
      <c r="D584" s="46"/>
    </row>
    <row r="585" spans="1:4" s="40" customFormat="1" ht="30" customHeight="1">
      <c r="A585" s="46"/>
      <c r="B585" s="46"/>
      <c r="C585" s="46"/>
      <c r="D585" s="46"/>
    </row>
    <row r="586" spans="1:4" s="40" customFormat="1" ht="30" customHeight="1">
      <c r="A586" s="46"/>
      <c r="B586" s="46"/>
      <c r="C586" s="46"/>
      <c r="D586" s="46"/>
    </row>
    <row r="587" spans="1:4" s="40" customFormat="1" ht="30" customHeight="1">
      <c r="A587" s="46"/>
      <c r="B587" s="46"/>
      <c r="C587" s="46"/>
      <c r="D587" s="46"/>
    </row>
    <row r="588" spans="1:4" s="40" customFormat="1" ht="30" customHeight="1">
      <c r="A588" s="46"/>
      <c r="B588" s="46"/>
      <c r="C588" s="46"/>
      <c r="D588" s="46"/>
    </row>
    <row r="589" spans="1:4" s="40" customFormat="1" ht="30" customHeight="1">
      <c r="A589" s="46"/>
      <c r="B589" s="46"/>
      <c r="C589" s="46"/>
      <c r="D589" s="46"/>
    </row>
    <row r="590" spans="1:4" s="40" customFormat="1" ht="30" customHeight="1">
      <c r="A590" s="46"/>
      <c r="B590" s="46"/>
      <c r="C590" s="46"/>
      <c r="D590" s="46"/>
    </row>
    <row r="591" spans="1:4" s="40" customFormat="1" ht="30" customHeight="1">
      <c r="A591" s="46"/>
      <c r="B591" s="46"/>
      <c r="C591" s="46"/>
      <c r="D591" s="46"/>
    </row>
    <row r="592" spans="1:4" s="40" customFormat="1" ht="30" customHeight="1">
      <c r="A592" s="46"/>
      <c r="B592" s="46"/>
      <c r="C592" s="46"/>
      <c r="D592" s="46"/>
    </row>
    <row r="593" spans="1:4" s="40" customFormat="1" ht="30" customHeight="1">
      <c r="A593" s="46"/>
      <c r="B593" s="46"/>
      <c r="C593" s="46"/>
      <c r="D593" s="46"/>
    </row>
    <row r="594" spans="1:4" s="40" customFormat="1" ht="30" customHeight="1">
      <c r="A594" s="46"/>
      <c r="B594" s="46"/>
      <c r="C594" s="46"/>
      <c r="D594" s="46"/>
    </row>
    <row r="595" spans="1:4" s="40" customFormat="1" ht="30" customHeight="1">
      <c r="A595" s="46"/>
      <c r="B595" s="46"/>
      <c r="C595" s="46"/>
      <c r="D595" s="46"/>
    </row>
    <row r="596" spans="1:4" s="40" customFormat="1" ht="30" customHeight="1">
      <c r="A596" s="46"/>
      <c r="B596" s="46"/>
      <c r="C596" s="46"/>
      <c r="D596" s="46"/>
    </row>
    <row r="597" spans="1:4" s="40" customFormat="1" ht="30" customHeight="1">
      <c r="A597" s="46"/>
      <c r="B597" s="46"/>
      <c r="C597" s="46"/>
      <c r="D597" s="46"/>
    </row>
    <row r="598" spans="1:4" s="40" customFormat="1" ht="30" customHeight="1">
      <c r="A598" s="46"/>
      <c r="B598" s="46"/>
      <c r="C598" s="46"/>
      <c r="D598" s="46"/>
    </row>
    <row r="599" spans="1:4" s="40" customFormat="1" ht="30" customHeight="1">
      <c r="A599" s="46"/>
      <c r="B599" s="46"/>
      <c r="C599" s="46"/>
      <c r="D599" s="46"/>
    </row>
    <row r="600" spans="1:4" s="40" customFormat="1" ht="30" customHeight="1">
      <c r="A600" s="46"/>
      <c r="B600" s="46"/>
      <c r="C600" s="46"/>
      <c r="D600" s="46"/>
    </row>
    <row r="601" spans="1:4" s="40" customFormat="1" ht="30" customHeight="1">
      <c r="A601" s="46"/>
      <c r="B601" s="46"/>
      <c r="C601" s="46"/>
      <c r="D601" s="46"/>
    </row>
    <row r="602" spans="1:4" s="40" customFormat="1" ht="30" customHeight="1">
      <c r="A602" s="46"/>
      <c r="B602" s="46"/>
      <c r="C602" s="46"/>
      <c r="D602" s="46"/>
    </row>
    <row r="603" spans="1:4" s="40" customFormat="1" ht="30" customHeight="1">
      <c r="A603" s="46"/>
      <c r="B603" s="46"/>
      <c r="C603" s="46"/>
      <c r="D603" s="46"/>
    </row>
    <row r="604" spans="1:4" s="40" customFormat="1" ht="30" customHeight="1">
      <c r="A604" s="46"/>
      <c r="B604" s="46"/>
      <c r="C604" s="46"/>
      <c r="D604" s="46"/>
    </row>
    <row r="605" spans="1:4" s="40" customFormat="1" ht="30" customHeight="1">
      <c r="A605" s="46"/>
      <c r="B605" s="46"/>
      <c r="C605" s="46"/>
      <c r="D605" s="46"/>
    </row>
    <row r="606" spans="1:4" s="40" customFormat="1" ht="30" customHeight="1">
      <c r="A606" s="46"/>
      <c r="B606" s="46"/>
      <c r="C606" s="46"/>
      <c r="D606" s="46"/>
    </row>
    <row r="607" spans="1:4" s="40" customFormat="1" ht="30" customHeight="1">
      <c r="A607" s="46"/>
      <c r="B607" s="46"/>
      <c r="C607" s="46"/>
      <c r="D607" s="46"/>
    </row>
    <row r="608" spans="1:4" s="40" customFormat="1" ht="30" customHeight="1">
      <c r="A608" s="46"/>
      <c r="B608" s="46"/>
      <c r="C608" s="46"/>
      <c r="D608" s="46"/>
    </row>
    <row r="609" spans="1:4" s="40" customFormat="1" ht="30" customHeight="1">
      <c r="A609" s="46"/>
      <c r="B609" s="46"/>
      <c r="C609" s="46"/>
      <c r="D609" s="46"/>
    </row>
    <row r="610" spans="1:4" s="40" customFormat="1" ht="30" customHeight="1">
      <c r="A610" s="46"/>
      <c r="B610" s="46"/>
      <c r="C610" s="46"/>
      <c r="D610" s="46"/>
    </row>
    <row r="611" spans="1:4" s="40" customFormat="1" ht="30" customHeight="1">
      <c r="A611" s="46"/>
      <c r="B611" s="46"/>
      <c r="C611" s="46"/>
      <c r="D611" s="46"/>
    </row>
    <row r="612" spans="1:4" s="40" customFormat="1" ht="30" customHeight="1">
      <c r="A612" s="46"/>
      <c r="B612" s="46"/>
      <c r="C612" s="46"/>
      <c r="D612" s="46"/>
    </row>
    <row r="613" spans="1:4" s="40" customFormat="1" ht="30" customHeight="1">
      <c r="A613" s="46"/>
      <c r="B613" s="46"/>
      <c r="C613" s="46"/>
      <c r="D613" s="46"/>
    </row>
    <row r="614" spans="1:4" s="40" customFormat="1" ht="30" customHeight="1">
      <c r="A614" s="46"/>
      <c r="B614" s="46"/>
      <c r="C614" s="46"/>
      <c r="D614" s="46"/>
    </row>
    <row r="615" spans="1:4" s="40" customFormat="1" ht="30" customHeight="1">
      <c r="A615" s="46"/>
      <c r="B615" s="46"/>
      <c r="C615" s="46"/>
      <c r="D615" s="46"/>
    </row>
    <row r="616" spans="1:4" s="40" customFormat="1" ht="30" customHeight="1">
      <c r="A616" s="46"/>
      <c r="B616" s="46"/>
      <c r="C616" s="46"/>
      <c r="D616" s="46"/>
    </row>
    <row r="617" spans="1:4" s="40" customFormat="1" ht="30" customHeight="1">
      <c r="A617" s="46"/>
      <c r="B617" s="46"/>
      <c r="C617" s="46"/>
      <c r="D617" s="46"/>
    </row>
    <row r="618" spans="1:4" s="40" customFormat="1" ht="30" customHeight="1">
      <c r="A618" s="46"/>
      <c r="B618" s="46"/>
      <c r="C618" s="46"/>
      <c r="D618" s="46"/>
    </row>
    <row r="619" spans="1:4" s="40" customFormat="1" ht="30" customHeight="1">
      <c r="A619" s="46"/>
      <c r="B619" s="46"/>
      <c r="C619" s="46"/>
      <c r="D619" s="46"/>
    </row>
    <row r="620" spans="1:4" s="40" customFormat="1" ht="30" customHeight="1">
      <c r="A620" s="46"/>
      <c r="B620" s="46"/>
      <c r="C620" s="46"/>
      <c r="D620" s="46"/>
    </row>
    <row r="621" spans="1:4" s="40" customFormat="1" ht="30" customHeight="1">
      <c r="A621" s="46"/>
      <c r="B621" s="46"/>
      <c r="C621" s="46"/>
      <c r="D621" s="46"/>
    </row>
    <row r="622" spans="1:4" s="40" customFormat="1" ht="30" customHeight="1">
      <c r="A622" s="46"/>
      <c r="B622" s="46"/>
      <c r="C622" s="46"/>
      <c r="D622" s="46"/>
    </row>
    <row r="623" spans="1:4" s="40" customFormat="1" ht="30" customHeight="1">
      <c r="A623" s="46"/>
      <c r="B623" s="46"/>
      <c r="C623" s="46"/>
      <c r="D623" s="46"/>
    </row>
    <row r="624" spans="1:4" s="40" customFormat="1" ht="30" customHeight="1">
      <c r="A624" s="46"/>
      <c r="B624" s="46"/>
      <c r="C624" s="46"/>
      <c r="D624" s="46"/>
    </row>
    <row r="625" spans="1:4" s="40" customFormat="1" ht="30" customHeight="1">
      <c r="A625" s="46"/>
      <c r="B625" s="46"/>
      <c r="C625" s="46"/>
      <c r="D625" s="46"/>
    </row>
    <row r="626" spans="1:4" s="40" customFormat="1" ht="30" customHeight="1">
      <c r="A626" s="46"/>
      <c r="B626" s="46"/>
      <c r="C626" s="46"/>
      <c r="D626" s="46"/>
    </row>
    <row r="627" spans="1:4" s="40" customFormat="1" ht="30" customHeight="1">
      <c r="A627" s="46"/>
      <c r="B627" s="46"/>
      <c r="C627" s="46"/>
      <c r="D627" s="46"/>
    </row>
    <row r="628" spans="1:4" s="40" customFormat="1" ht="30" customHeight="1">
      <c r="A628" s="46"/>
      <c r="B628" s="46"/>
      <c r="C628" s="46"/>
      <c r="D628" s="46"/>
    </row>
    <row r="629" spans="1:4" s="40" customFormat="1" ht="30" customHeight="1">
      <c r="A629" s="46"/>
      <c r="B629" s="46"/>
      <c r="C629" s="46"/>
      <c r="D629" s="46"/>
    </row>
    <row r="630" spans="1:4" s="40" customFormat="1" ht="30" customHeight="1">
      <c r="A630" s="46"/>
      <c r="B630" s="46"/>
      <c r="C630" s="46"/>
      <c r="D630" s="46"/>
    </row>
    <row r="631" spans="1:4" s="40" customFormat="1" ht="30" customHeight="1">
      <c r="A631" s="46"/>
      <c r="B631" s="46"/>
      <c r="C631" s="46"/>
      <c r="D631" s="46"/>
    </row>
    <row r="632" spans="1:4" s="40" customFormat="1" ht="30" customHeight="1">
      <c r="A632" s="46"/>
      <c r="B632" s="46"/>
      <c r="C632" s="46"/>
      <c r="D632" s="46"/>
    </row>
    <row r="633" spans="1:4" s="40" customFormat="1" ht="30" customHeight="1">
      <c r="A633" s="46"/>
      <c r="B633" s="46"/>
      <c r="C633" s="46"/>
      <c r="D633" s="46"/>
    </row>
    <row r="634" spans="1:4" s="40" customFormat="1" ht="30" customHeight="1">
      <c r="A634" s="46"/>
      <c r="B634" s="46"/>
      <c r="C634" s="46"/>
      <c r="D634" s="46"/>
    </row>
    <row r="635" spans="1:4" s="40" customFormat="1" ht="30" customHeight="1">
      <c r="A635" s="46"/>
      <c r="B635" s="46"/>
      <c r="C635" s="46"/>
      <c r="D635" s="46"/>
    </row>
    <row r="636" spans="1:4" s="40" customFormat="1" ht="30" customHeight="1">
      <c r="A636" s="46"/>
      <c r="B636" s="46"/>
      <c r="C636" s="46"/>
      <c r="D636" s="46"/>
    </row>
    <row r="637" spans="1:4" s="40" customFormat="1" ht="30" customHeight="1">
      <c r="A637" s="46"/>
      <c r="B637" s="46"/>
      <c r="C637" s="46"/>
      <c r="D637" s="46"/>
    </row>
    <row r="638" spans="1:4" s="40" customFormat="1" ht="30" customHeight="1">
      <c r="A638" s="46"/>
      <c r="B638" s="46"/>
      <c r="C638" s="46"/>
      <c r="D638" s="46"/>
    </row>
    <row r="639" spans="1:4" s="40" customFormat="1" ht="30" customHeight="1">
      <c r="A639" s="46"/>
      <c r="B639" s="46"/>
      <c r="C639" s="46"/>
      <c r="D639" s="46"/>
    </row>
    <row r="640" spans="1:4" s="40" customFormat="1" ht="30" customHeight="1">
      <c r="A640" s="46"/>
      <c r="B640" s="46"/>
      <c r="C640" s="46"/>
      <c r="D640" s="46"/>
    </row>
    <row r="641" spans="1:4" s="40" customFormat="1" ht="30" customHeight="1">
      <c r="A641" s="46"/>
      <c r="B641" s="46"/>
      <c r="C641" s="46"/>
      <c r="D641" s="46"/>
    </row>
    <row r="642" spans="1:4" s="40" customFormat="1" ht="30" customHeight="1">
      <c r="A642" s="46"/>
      <c r="B642" s="46"/>
      <c r="C642" s="46"/>
      <c r="D642" s="46"/>
    </row>
    <row r="643" spans="1:4" s="40" customFormat="1" ht="30" customHeight="1">
      <c r="A643" s="46"/>
      <c r="B643" s="46"/>
      <c r="C643" s="46"/>
      <c r="D643" s="46"/>
    </row>
    <row r="644" spans="1:4" s="40" customFormat="1" ht="30" customHeight="1">
      <c r="A644" s="46"/>
      <c r="B644" s="46"/>
      <c r="C644" s="46"/>
      <c r="D644" s="46"/>
    </row>
    <row r="645" spans="1:4" s="40" customFormat="1" ht="30" customHeight="1">
      <c r="A645" s="46"/>
      <c r="B645" s="46"/>
      <c r="C645" s="46"/>
      <c r="D645" s="46"/>
    </row>
    <row r="646" spans="1:4" s="40" customFormat="1" ht="30" customHeight="1">
      <c r="A646" s="46"/>
      <c r="B646" s="46"/>
      <c r="C646" s="46"/>
      <c r="D646" s="46"/>
    </row>
    <row r="647" spans="1:4" s="40" customFormat="1" ht="30" customHeight="1">
      <c r="A647" s="46"/>
      <c r="B647" s="46"/>
      <c r="C647" s="46"/>
      <c r="D647" s="46"/>
    </row>
    <row r="648" spans="1:4" s="40" customFormat="1" ht="30" customHeight="1">
      <c r="A648" s="46"/>
      <c r="B648" s="46"/>
      <c r="C648" s="46"/>
      <c r="D648" s="46"/>
    </row>
    <row r="649" spans="1:4" s="40" customFormat="1" ht="30" customHeight="1">
      <c r="A649" s="46"/>
      <c r="B649" s="46"/>
      <c r="C649" s="46"/>
      <c r="D649" s="46"/>
    </row>
    <row r="650" spans="1:4" s="40" customFormat="1" ht="30" customHeight="1">
      <c r="A650" s="46"/>
      <c r="B650" s="46"/>
      <c r="C650" s="46"/>
      <c r="D650" s="46"/>
    </row>
    <row r="651" spans="1:4" s="40" customFormat="1" ht="30" customHeight="1">
      <c r="A651" s="46"/>
      <c r="B651" s="46"/>
      <c r="C651" s="46"/>
      <c r="D651" s="46"/>
    </row>
    <row r="652" spans="1:4" s="40" customFormat="1" ht="30" customHeight="1">
      <c r="A652" s="46"/>
      <c r="B652" s="46"/>
      <c r="C652" s="46"/>
      <c r="D652" s="46"/>
    </row>
    <row r="653" spans="1:4" s="40" customFormat="1" ht="30" customHeight="1">
      <c r="A653" s="46"/>
      <c r="B653" s="46"/>
      <c r="C653" s="46"/>
      <c r="D653" s="46"/>
    </row>
    <row r="654" spans="1:4" s="40" customFormat="1" ht="30" customHeight="1">
      <c r="A654" s="46"/>
      <c r="B654" s="46"/>
      <c r="C654" s="46"/>
      <c r="D654" s="46"/>
    </row>
    <row r="655" spans="1:4" s="40" customFormat="1" ht="30" customHeight="1">
      <c r="A655" s="46"/>
      <c r="B655" s="46"/>
      <c r="C655" s="46"/>
      <c r="D655" s="46"/>
    </row>
    <row r="656" spans="1:4" s="40" customFormat="1" ht="30" customHeight="1">
      <c r="A656" s="46"/>
      <c r="B656" s="46"/>
      <c r="C656" s="46"/>
      <c r="D656" s="46"/>
    </row>
    <row r="657" spans="1:4" s="40" customFormat="1" ht="30" customHeight="1">
      <c r="A657" s="46"/>
      <c r="B657" s="46"/>
      <c r="C657" s="46"/>
      <c r="D657" s="46"/>
    </row>
    <row r="658" spans="1:4" s="40" customFormat="1" ht="30" customHeight="1">
      <c r="A658" s="46"/>
      <c r="B658" s="46"/>
      <c r="C658" s="46"/>
      <c r="D658" s="46"/>
    </row>
    <row r="659" spans="1:4" s="40" customFormat="1" ht="30" customHeight="1">
      <c r="A659" s="46"/>
      <c r="B659" s="46"/>
      <c r="C659" s="46"/>
      <c r="D659" s="46"/>
    </row>
    <row r="660" spans="1:4" s="40" customFormat="1" ht="30" customHeight="1">
      <c r="A660" s="46"/>
      <c r="B660" s="46"/>
      <c r="C660" s="46"/>
      <c r="D660" s="46"/>
    </row>
    <row r="661" spans="1:4" s="40" customFormat="1" ht="30" customHeight="1">
      <c r="A661" s="46"/>
      <c r="B661" s="46"/>
      <c r="C661" s="46"/>
      <c r="D661" s="46"/>
    </row>
    <row r="662" spans="1:4" s="40" customFormat="1" ht="30" customHeight="1">
      <c r="A662" s="46"/>
      <c r="B662" s="46"/>
      <c r="C662" s="46"/>
      <c r="D662" s="46"/>
    </row>
    <row r="663" spans="1:4" s="40" customFormat="1" ht="30" customHeight="1">
      <c r="A663" s="46"/>
      <c r="B663" s="46"/>
      <c r="C663" s="46"/>
      <c r="D663" s="46"/>
    </row>
    <row r="664" spans="1:4" s="40" customFormat="1" ht="30" customHeight="1">
      <c r="A664" s="46"/>
      <c r="B664" s="46"/>
      <c r="C664" s="46"/>
      <c r="D664" s="46"/>
    </row>
    <row r="665" spans="1:4" s="40" customFormat="1" ht="30" customHeight="1">
      <c r="A665" s="46"/>
      <c r="B665" s="46"/>
      <c r="C665" s="46"/>
      <c r="D665" s="46"/>
    </row>
    <row r="666" spans="1:4" s="40" customFormat="1" ht="30" customHeight="1">
      <c r="A666" s="46"/>
      <c r="B666" s="46"/>
      <c r="C666" s="46"/>
      <c r="D666" s="46"/>
    </row>
    <row r="667" spans="1:4" s="40" customFormat="1" ht="30" customHeight="1">
      <c r="A667" s="46"/>
      <c r="B667" s="46"/>
      <c r="C667" s="46"/>
      <c r="D667" s="46"/>
    </row>
    <row r="668" spans="1:4" s="40" customFormat="1" ht="30" customHeight="1">
      <c r="A668" s="46"/>
      <c r="B668" s="46"/>
      <c r="C668" s="46"/>
      <c r="D668" s="46"/>
    </row>
    <row r="669" spans="1:4" s="40" customFormat="1" ht="30" customHeight="1">
      <c r="A669" s="46"/>
      <c r="B669" s="46"/>
      <c r="C669" s="46"/>
      <c r="D669" s="46"/>
    </row>
    <row r="670" spans="1:4" s="40" customFormat="1" ht="30" customHeight="1">
      <c r="A670" s="46"/>
      <c r="B670" s="46"/>
      <c r="C670" s="46"/>
      <c r="D670" s="46"/>
    </row>
    <row r="671" spans="1:4" s="40" customFormat="1" ht="30" customHeight="1">
      <c r="A671" s="46"/>
      <c r="B671" s="46"/>
      <c r="C671" s="46"/>
      <c r="D671" s="46"/>
    </row>
    <row r="672" spans="1:4" s="40" customFormat="1" ht="30" customHeight="1">
      <c r="A672" s="46"/>
      <c r="B672" s="46"/>
      <c r="C672" s="46"/>
      <c r="D672" s="46"/>
    </row>
    <row r="673" spans="1:4" s="40" customFormat="1" ht="30" customHeight="1">
      <c r="A673" s="46"/>
      <c r="B673" s="46"/>
      <c r="C673" s="46"/>
      <c r="D673" s="46"/>
    </row>
    <row r="674" spans="1:4" s="40" customFormat="1" ht="30" customHeight="1">
      <c r="A674" s="46"/>
      <c r="B674" s="46"/>
      <c r="C674" s="46"/>
      <c r="D674" s="46"/>
    </row>
    <row r="675" spans="1:4" s="40" customFormat="1" ht="30" customHeight="1">
      <c r="A675" s="46"/>
      <c r="B675" s="46"/>
      <c r="C675" s="46"/>
      <c r="D675" s="46"/>
    </row>
    <row r="676" spans="1:4" s="40" customFormat="1" ht="30" customHeight="1">
      <c r="A676" s="46"/>
      <c r="B676" s="46"/>
      <c r="C676" s="46"/>
      <c r="D676" s="46"/>
    </row>
    <row r="677" spans="1:4" s="40" customFormat="1" ht="30" customHeight="1">
      <c r="A677" s="46"/>
      <c r="B677" s="46"/>
      <c r="C677" s="46"/>
      <c r="D677" s="46"/>
    </row>
    <row r="678" spans="1:4" s="40" customFormat="1" ht="30" customHeight="1">
      <c r="A678" s="46"/>
      <c r="B678" s="46"/>
      <c r="C678" s="46"/>
      <c r="D678" s="46"/>
    </row>
    <row r="679" spans="1:4" s="40" customFormat="1" ht="30" customHeight="1">
      <c r="A679" s="46"/>
      <c r="B679" s="46"/>
      <c r="C679" s="46"/>
      <c r="D679" s="46"/>
    </row>
    <row r="680" spans="1:4" s="40" customFormat="1" ht="30" customHeight="1">
      <c r="A680" s="46"/>
      <c r="B680" s="46"/>
      <c r="C680" s="46"/>
      <c r="D680" s="46"/>
    </row>
    <row r="681" spans="1:4" s="40" customFormat="1" ht="30" customHeight="1">
      <c r="A681" s="46"/>
      <c r="B681" s="46"/>
      <c r="C681" s="46"/>
      <c r="D681" s="46"/>
    </row>
    <row r="682" spans="1:4" s="40" customFormat="1" ht="30" customHeight="1">
      <c r="A682" s="46"/>
      <c r="B682" s="46"/>
      <c r="C682" s="46"/>
      <c r="D682" s="46"/>
    </row>
    <row r="683" spans="1:4" s="40" customFormat="1" ht="30" customHeight="1">
      <c r="A683" s="46"/>
      <c r="B683" s="46"/>
      <c r="C683" s="46"/>
      <c r="D683" s="46"/>
    </row>
    <row r="684" spans="1:4" s="40" customFormat="1" ht="30" customHeight="1">
      <c r="A684" s="46"/>
      <c r="B684" s="46"/>
      <c r="C684" s="46"/>
      <c r="D684" s="46"/>
    </row>
    <row r="685" spans="1:4" s="40" customFormat="1" ht="30" customHeight="1">
      <c r="A685" s="46"/>
      <c r="B685" s="46"/>
      <c r="C685" s="46"/>
      <c r="D685" s="46"/>
    </row>
    <row r="686" spans="1:4" s="40" customFormat="1" ht="30" customHeight="1">
      <c r="A686" s="46"/>
      <c r="B686" s="46"/>
      <c r="C686" s="46"/>
      <c r="D686" s="46"/>
    </row>
    <row r="687" spans="1:4" s="40" customFormat="1" ht="30" customHeight="1">
      <c r="A687" s="46"/>
      <c r="B687" s="46"/>
      <c r="C687" s="46"/>
      <c r="D687" s="46"/>
    </row>
    <row r="688" spans="1:4" s="40" customFormat="1" ht="30" customHeight="1">
      <c r="A688" s="46"/>
      <c r="B688" s="46"/>
      <c r="C688" s="46"/>
      <c r="D688" s="46"/>
    </row>
    <row r="689" spans="1:4" s="40" customFormat="1" ht="30" customHeight="1">
      <c r="A689" s="46"/>
      <c r="B689" s="46"/>
      <c r="C689" s="46"/>
      <c r="D689" s="46"/>
    </row>
    <row r="690" spans="1:4" s="40" customFormat="1" ht="30" customHeight="1">
      <c r="A690" s="46"/>
      <c r="B690" s="46"/>
      <c r="C690" s="46"/>
      <c r="D690" s="46"/>
    </row>
    <row r="691" spans="1:4" s="40" customFormat="1" ht="30" customHeight="1">
      <c r="A691" s="46"/>
      <c r="B691" s="46"/>
      <c r="C691" s="46"/>
      <c r="D691" s="46"/>
    </row>
    <row r="692" spans="1:4" s="40" customFormat="1" ht="30" customHeight="1">
      <c r="A692" s="46"/>
      <c r="B692" s="46"/>
      <c r="C692" s="46"/>
      <c r="D692" s="46"/>
    </row>
    <row r="693" spans="1:4" s="40" customFormat="1" ht="30" customHeight="1">
      <c r="A693" s="46"/>
      <c r="B693" s="46"/>
      <c r="C693" s="46"/>
      <c r="D693" s="46"/>
    </row>
    <row r="694" spans="1:4" s="40" customFormat="1" ht="30" customHeight="1">
      <c r="A694" s="46"/>
      <c r="B694" s="46"/>
      <c r="C694" s="46"/>
      <c r="D694" s="46"/>
    </row>
    <row r="695" spans="1:4" s="40" customFormat="1" ht="30" customHeight="1">
      <c r="A695" s="46"/>
      <c r="B695" s="46"/>
      <c r="C695" s="46"/>
      <c r="D695" s="46"/>
    </row>
    <row r="696" spans="1:4" s="40" customFormat="1" ht="30" customHeight="1">
      <c r="A696" s="46"/>
      <c r="B696" s="46"/>
      <c r="C696" s="46"/>
      <c r="D696" s="46"/>
    </row>
    <row r="697" spans="1:4" s="40" customFormat="1" ht="30" customHeight="1">
      <c r="A697" s="46"/>
      <c r="B697" s="46"/>
      <c r="C697" s="46"/>
      <c r="D697" s="46"/>
    </row>
    <row r="698" spans="1:4" s="40" customFormat="1" ht="30" customHeight="1">
      <c r="A698" s="46"/>
      <c r="B698" s="46"/>
      <c r="C698" s="46"/>
      <c r="D698" s="46"/>
    </row>
    <row r="699" spans="1:4" s="40" customFormat="1" ht="30" customHeight="1">
      <c r="A699" s="46"/>
      <c r="B699" s="46"/>
      <c r="C699" s="46"/>
      <c r="D699" s="46"/>
    </row>
    <row r="700" spans="1:4" s="40" customFormat="1" ht="30" customHeight="1">
      <c r="A700" s="46"/>
      <c r="B700" s="46"/>
      <c r="C700" s="46"/>
      <c r="D700" s="46"/>
    </row>
    <row r="701" spans="1:4" s="40" customFormat="1" ht="30" customHeight="1">
      <c r="A701" s="46"/>
      <c r="B701" s="46"/>
      <c r="C701" s="46"/>
      <c r="D701" s="46"/>
    </row>
    <row r="702" spans="1:4" s="40" customFormat="1" ht="30" customHeight="1">
      <c r="A702" s="46"/>
      <c r="B702" s="46"/>
      <c r="C702" s="46"/>
      <c r="D702" s="46"/>
    </row>
    <row r="703" spans="1:4" s="40" customFormat="1" ht="30" customHeight="1">
      <c r="A703" s="46"/>
      <c r="B703" s="46"/>
      <c r="C703" s="46"/>
      <c r="D703" s="46"/>
    </row>
    <row r="704" spans="1:4" s="40" customFormat="1" ht="30" customHeight="1">
      <c r="A704" s="46"/>
      <c r="B704" s="46"/>
      <c r="C704" s="46"/>
      <c r="D704" s="46"/>
    </row>
    <row r="705" spans="1:4" s="40" customFormat="1" ht="30" customHeight="1">
      <c r="A705" s="46"/>
      <c r="B705" s="46"/>
      <c r="C705" s="46"/>
      <c r="D705" s="46"/>
    </row>
    <row r="706" spans="1:4" s="40" customFormat="1" ht="30" customHeight="1">
      <c r="A706" s="46"/>
      <c r="B706" s="46"/>
      <c r="C706" s="46"/>
      <c r="D706" s="46"/>
    </row>
    <row r="707" spans="1:4" s="40" customFormat="1" ht="30" customHeight="1">
      <c r="A707" s="46"/>
      <c r="B707" s="46"/>
      <c r="C707" s="46"/>
      <c r="D707" s="46"/>
    </row>
    <row r="708" spans="1:4" s="40" customFormat="1" ht="30" customHeight="1">
      <c r="A708" s="46"/>
      <c r="B708" s="46"/>
      <c r="C708" s="46"/>
      <c r="D708" s="46"/>
    </row>
    <row r="709" spans="1:4" s="40" customFormat="1" ht="30" customHeight="1">
      <c r="A709" s="46"/>
      <c r="B709" s="46"/>
      <c r="C709" s="46"/>
      <c r="D709" s="46"/>
    </row>
    <row r="710" spans="1:4" s="40" customFormat="1" ht="30" customHeight="1">
      <c r="A710" s="46"/>
      <c r="B710" s="46"/>
      <c r="C710" s="46"/>
      <c r="D710" s="46"/>
    </row>
    <row r="711" spans="1:4" s="40" customFormat="1" ht="30" customHeight="1">
      <c r="A711" s="46"/>
      <c r="B711" s="46"/>
      <c r="C711" s="46"/>
      <c r="D711" s="46"/>
    </row>
    <row r="712" spans="1:4" s="40" customFormat="1" ht="30" customHeight="1">
      <c r="A712" s="46"/>
      <c r="B712" s="46"/>
      <c r="C712" s="46"/>
      <c r="D712" s="46"/>
    </row>
    <row r="713" spans="1:4" s="40" customFormat="1" ht="30" customHeight="1">
      <c r="A713" s="46"/>
      <c r="B713" s="46"/>
      <c r="C713" s="46"/>
      <c r="D713" s="46"/>
    </row>
    <row r="714" spans="1:4" s="40" customFormat="1" ht="30" customHeight="1">
      <c r="A714" s="46"/>
      <c r="B714" s="46"/>
      <c r="C714" s="46"/>
      <c r="D714" s="46"/>
    </row>
    <row r="715" spans="1:4" s="40" customFormat="1" ht="30" customHeight="1">
      <c r="A715" s="46"/>
      <c r="B715" s="46"/>
      <c r="C715" s="46"/>
      <c r="D715" s="46"/>
    </row>
    <row r="716" spans="1:4" s="40" customFormat="1" ht="30" customHeight="1">
      <c r="A716" s="46"/>
      <c r="B716" s="46"/>
      <c r="C716" s="46"/>
      <c r="D716" s="46"/>
    </row>
    <row r="717" spans="1:4" s="40" customFormat="1" ht="30" customHeight="1">
      <c r="A717" s="46"/>
      <c r="B717" s="46"/>
      <c r="C717" s="46"/>
      <c r="D717" s="46"/>
    </row>
    <row r="718" spans="1:4" s="40" customFormat="1" ht="30" customHeight="1">
      <c r="A718" s="46"/>
      <c r="B718" s="46"/>
      <c r="C718" s="46"/>
      <c r="D718" s="46"/>
    </row>
    <row r="719" spans="1:4" s="40" customFormat="1" ht="30" customHeight="1">
      <c r="A719" s="46"/>
      <c r="B719" s="46"/>
      <c r="C719" s="46"/>
      <c r="D719" s="46"/>
    </row>
    <row r="720" spans="1:4" s="40" customFormat="1" ht="30" customHeight="1">
      <c r="A720" s="46"/>
      <c r="B720" s="46"/>
      <c r="C720" s="46"/>
      <c r="D720" s="46"/>
    </row>
    <row r="721" spans="1:4" s="40" customFormat="1" ht="30" customHeight="1">
      <c r="A721" s="46"/>
      <c r="B721" s="46"/>
      <c r="C721" s="46"/>
      <c r="D721" s="46"/>
    </row>
    <row r="722" spans="1:4" s="40" customFormat="1" ht="30" customHeight="1">
      <c r="A722" s="46"/>
      <c r="B722" s="46"/>
      <c r="C722" s="46"/>
      <c r="D722" s="46"/>
    </row>
    <row r="723" spans="1:4" s="40" customFormat="1" ht="30" customHeight="1">
      <c r="A723" s="46"/>
      <c r="B723" s="46"/>
      <c r="C723" s="46"/>
      <c r="D723" s="46"/>
    </row>
    <row r="724" spans="1:4" s="40" customFormat="1" ht="30" customHeight="1">
      <c r="A724" s="46"/>
      <c r="B724" s="46"/>
      <c r="C724" s="46"/>
      <c r="D724" s="46"/>
    </row>
    <row r="725" spans="1:4" s="40" customFormat="1" ht="30" customHeight="1">
      <c r="A725" s="46"/>
      <c r="B725" s="46"/>
      <c r="C725" s="46"/>
      <c r="D725" s="46"/>
    </row>
    <row r="726" spans="1:4" s="40" customFormat="1" ht="30" customHeight="1">
      <c r="A726" s="46"/>
      <c r="B726" s="46"/>
      <c r="C726" s="46"/>
      <c r="D726" s="46"/>
    </row>
    <row r="727" spans="1:4" s="40" customFormat="1" ht="30" customHeight="1">
      <c r="A727" s="46"/>
      <c r="B727" s="46"/>
      <c r="C727" s="46"/>
      <c r="D727" s="46"/>
    </row>
    <row r="728" spans="1:4" s="40" customFormat="1" ht="30" customHeight="1">
      <c r="A728" s="46"/>
      <c r="B728" s="46"/>
      <c r="C728" s="46"/>
      <c r="D728" s="46"/>
    </row>
    <row r="729" spans="1:4" s="40" customFormat="1" ht="30" customHeight="1">
      <c r="A729" s="46"/>
      <c r="B729" s="46"/>
      <c r="C729" s="46"/>
      <c r="D729" s="46"/>
    </row>
    <row r="730" spans="1:4" s="40" customFormat="1" ht="30" customHeight="1">
      <c r="A730" s="46"/>
      <c r="B730" s="46"/>
      <c r="C730" s="46"/>
      <c r="D730" s="46"/>
    </row>
    <row r="731" spans="1:4" s="40" customFormat="1" ht="30" customHeight="1">
      <c r="A731" s="46"/>
      <c r="B731" s="46"/>
      <c r="C731" s="46"/>
      <c r="D731" s="46"/>
    </row>
    <row r="732" spans="1:4" s="40" customFormat="1" ht="30" customHeight="1">
      <c r="A732" s="46"/>
      <c r="B732" s="46"/>
      <c r="C732" s="46"/>
      <c r="D732" s="46"/>
    </row>
    <row r="733" spans="1:4" s="40" customFormat="1" ht="30" customHeight="1">
      <c r="A733" s="46"/>
      <c r="B733" s="46"/>
      <c r="C733" s="46"/>
      <c r="D733" s="46"/>
    </row>
    <row r="734" spans="1:4" s="40" customFormat="1" ht="30" customHeight="1">
      <c r="A734" s="46"/>
      <c r="B734" s="46"/>
      <c r="C734" s="46"/>
      <c r="D734" s="46"/>
    </row>
    <row r="735" spans="1:4" s="40" customFormat="1" ht="30" customHeight="1">
      <c r="A735" s="46"/>
      <c r="B735" s="46"/>
      <c r="C735" s="46"/>
      <c r="D735" s="46"/>
    </row>
    <row r="736" spans="1:4" s="40" customFormat="1" ht="30" customHeight="1">
      <c r="A736" s="46"/>
      <c r="B736" s="46"/>
      <c r="C736" s="46"/>
      <c r="D736" s="46"/>
    </row>
    <row r="737" spans="1:4" s="40" customFormat="1" ht="30" customHeight="1">
      <c r="A737" s="46"/>
      <c r="B737" s="46"/>
      <c r="C737" s="46"/>
      <c r="D737" s="46"/>
    </row>
    <row r="738" spans="1:4" s="40" customFormat="1" ht="30" customHeight="1">
      <c r="A738" s="46"/>
      <c r="B738" s="46"/>
      <c r="C738" s="46"/>
      <c r="D738" s="46"/>
    </row>
    <row r="739" spans="1:4" s="40" customFormat="1" ht="30" customHeight="1">
      <c r="A739" s="46"/>
      <c r="B739" s="46"/>
      <c r="C739" s="46"/>
      <c r="D739" s="46"/>
    </row>
    <row r="740" spans="1:4" s="40" customFormat="1" ht="30" customHeight="1">
      <c r="A740" s="46"/>
      <c r="B740" s="46"/>
      <c r="C740" s="46"/>
      <c r="D740" s="46"/>
    </row>
    <row r="741" spans="1:4" s="40" customFormat="1" ht="30" customHeight="1">
      <c r="A741" s="46"/>
      <c r="B741" s="46"/>
      <c r="C741" s="46"/>
      <c r="D741" s="46"/>
    </row>
    <row r="742" spans="1:4" s="40" customFormat="1" ht="30" customHeight="1">
      <c r="A742" s="46"/>
      <c r="B742" s="46"/>
      <c r="C742" s="46"/>
      <c r="D742" s="46"/>
    </row>
    <row r="743" spans="1:4" s="40" customFormat="1" ht="30" customHeight="1">
      <c r="A743" s="46"/>
      <c r="B743" s="46"/>
      <c r="C743" s="46"/>
      <c r="D743" s="46"/>
    </row>
    <row r="744" spans="1:4" s="40" customFormat="1" ht="30" customHeight="1">
      <c r="A744" s="46"/>
      <c r="B744" s="46"/>
      <c r="C744" s="46"/>
      <c r="D744" s="46"/>
    </row>
    <row r="745" spans="1:4" s="40" customFormat="1" ht="30" customHeight="1">
      <c r="A745" s="46"/>
      <c r="B745" s="46"/>
      <c r="C745" s="46"/>
      <c r="D745" s="46"/>
    </row>
    <row r="746" spans="1:4" s="40" customFormat="1" ht="30" customHeight="1">
      <c r="A746" s="46"/>
      <c r="B746" s="46"/>
      <c r="C746" s="46"/>
      <c r="D746" s="46"/>
    </row>
    <row r="747" spans="1:4" s="40" customFormat="1" ht="30" customHeight="1">
      <c r="A747" s="46"/>
      <c r="B747" s="46"/>
      <c r="C747" s="46"/>
      <c r="D747" s="46"/>
    </row>
    <row r="748" spans="1:4" s="40" customFormat="1" ht="30" customHeight="1">
      <c r="A748" s="46"/>
      <c r="B748" s="46"/>
      <c r="C748" s="46"/>
      <c r="D748" s="46"/>
    </row>
    <row r="749" spans="1:4" s="40" customFormat="1" ht="30" customHeight="1">
      <c r="A749" s="46"/>
      <c r="B749" s="46"/>
      <c r="C749" s="46"/>
      <c r="D749" s="46"/>
    </row>
    <row r="750" spans="1:4" s="40" customFormat="1" ht="30" customHeight="1">
      <c r="A750" s="46"/>
      <c r="B750" s="46"/>
      <c r="C750" s="46"/>
      <c r="D750" s="46"/>
    </row>
    <row r="751" spans="1:4" s="40" customFormat="1" ht="30" customHeight="1">
      <c r="A751" s="46"/>
      <c r="B751" s="46"/>
      <c r="C751" s="46"/>
      <c r="D751" s="46"/>
    </row>
    <row r="752" spans="1:4" s="40" customFormat="1" ht="30" customHeight="1">
      <c r="A752" s="46"/>
      <c r="B752" s="46"/>
      <c r="C752" s="46"/>
      <c r="D752" s="46"/>
    </row>
    <row r="753" spans="1:4" s="40" customFormat="1" ht="30" customHeight="1">
      <c r="A753" s="46"/>
      <c r="B753" s="46"/>
      <c r="C753" s="46"/>
      <c r="D753" s="46"/>
    </row>
    <row r="754" spans="1:4" s="40" customFormat="1" ht="30" customHeight="1">
      <c r="A754" s="46"/>
      <c r="B754" s="46"/>
      <c r="C754" s="46"/>
      <c r="D754" s="46"/>
    </row>
    <row r="755" spans="1:4" s="40" customFormat="1" ht="30" customHeight="1">
      <c r="A755" s="46"/>
      <c r="B755" s="46"/>
      <c r="C755" s="46"/>
      <c r="D755" s="46"/>
    </row>
    <row r="756" spans="1:4" s="40" customFormat="1" ht="30" customHeight="1">
      <c r="A756" s="46"/>
      <c r="B756" s="46"/>
      <c r="C756" s="46"/>
      <c r="D756" s="46"/>
    </row>
    <row r="757" spans="1:4" s="40" customFormat="1" ht="30" customHeight="1">
      <c r="A757" s="46"/>
      <c r="B757" s="46"/>
      <c r="C757" s="46"/>
      <c r="D757" s="46"/>
    </row>
    <row r="758" spans="1:4" s="40" customFormat="1" ht="30" customHeight="1">
      <c r="A758" s="46"/>
      <c r="B758" s="46"/>
      <c r="C758" s="46"/>
      <c r="D758" s="46"/>
    </row>
    <row r="759" spans="1:4" s="40" customFormat="1" ht="30" customHeight="1">
      <c r="A759" s="46"/>
      <c r="B759" s="46"/>
      <c r="C759" s="46"/>
      <c r="D759" s="46"/>
    </row>
    <row r="760" spans="1:4" s="40" customFormat="1" ht="30" customHeight="1">
      <c r="A760" s="46"/>
      <c r="B760" s="46"/>
      <c r="C760" s="46"/>
      <c r="D760" s="46"/>
    </row>
    <row r="761" spans="1:4" s="40" customFormat="1" ht="30" customHeight="1">
      <c r="A761" s="46"/>
      <c r="B761" s="46"/>
      <c r="C761" s="46"/>
      <c r="D761" s="46"/>
    </row>
    <row r="762" spans="1:4" s="40" customFormat="1" ht="30" customHeight="1">
      <c r="A762" s="46"/>
      <c r="B762" s="46"/>
      <c r="C762" s="46"/>
      <c r="D762" s="46"/>
    </row>
    <row r="763" spans="1:4" s="40" customFormat="1" ht="30" customHeight="1">
      <c r="A763" s="46"/>
      <c r="B763" s="46"/>
      <c r="C763" s="46"/>
      <c r="D763" s="46"/>
    </row>
    <row r="764" spans="1:4" s="40" customFormat="1" ht="30" customHeight="1">
      <c r="A764" s="46"/>
      <c r="B764" s="46"/>
      <c r="C764" s="46"/>
      <c r="D764" s="46"/>
    </row>
    <row r="765" spans="1:4" s="40" customFormat="1" ht="30" customHeight="1">
      <c r="A765" s="46"/>
      <c r="B765" s="46"/>
      <c r="C765" s="46"/>
      <c r="D765" s="46"/>
    </row>
    <row r="766" spans="1:4" s="40" customFormat="1" ht="30" customHeight="1">
      <c r="A766" s="46"/>
      <c r="B766" s="46"/>
      <c r="C766" s="46"/>
      <c r="D766" s="46"/>
    </row>
    <row r="767" spans="1:4" s="40" customFormat="1" ht="30" customHeight="1">
      <c r="A767" s="46"/>
      <c r="B767" s="46"/>
      <c r="C767" s="46"/>
      <c r="D767" s="46"/>
    </row>
    <row r="768" spans="1:4" s="40" customFormat="1" ht="30" customHeight="1">
      <c r="A768" s="46"/>
      <c r="B768" s="46"/>
      <c r="C768" s="46"/>
      <c r="D768" s="46"/>
    </row>
    <row r="769" spans="1:4" s="40" customFormat="1" ht="30" customHeight="1">
      <c r="A769" s="46"/>
      <c r="B769" s="46"/>
      <c r="C769" s="46"/>
      <c r="D769" s="46"/>
    </row>
    <row r="770" spans="1:4" s="40" customFormat="1" ht="30" customHeight="1">
      <c r="A770" s="46"/>
      <c r="B770" s="46"/>
      <c r="C770" s="46"/>
      <c r="D770" s="46"/>
    </row>
    <row r="771" spans="1:4" s="40" customFormat="1" ht="30" customHeight="1">
      <c r="A771" s="46"/>
      <c r="B771" s="46"/>
      <c r="C771" s="46"/>
      <c r="D771" s="46"/>
    </row>
    <row r="772" spans="1:4" s="40" customFormat="1" ht="30" customHeight="1">
      <c r="A772" s="46"/>
      <c r="B772" s="46"/>
      <c r="C772" s="46"/>
      <c r="D772" s="46"/>
    </row>
    <row r="773" spans="1:4" s="40" customFormat="1" ht="30" customHeight="1">
      <c r="A773" s="46"/>
      <c r="B773" s="46"/>
      <c r="C773" s="46"/>
      <c r="D773" s="46"/>
    </row>
    <row r="774" spans="1:4" s="40" customFormat="1" ht="30" customHeight="1">
      <c r="A774" s="46"/>
      <c r="B774" s="46"/>
      <c r="C774" s="46"/>
      <c r="D774" s="46"/>
    </row>
    <row r="775" spans="1:4" s="40" customFormat="1" ht="30" customHeight="1">
      <c r="A775" s="46"/>
      <c r="B775" s="46"/>
      <c r="C775" s="46"/>
      <c r="D775" s="46"/>
    </row>
    <row r="776" spans="1:4" s="40" customFormat="1" ht="30" customHeight="1">
      <c r="A776" s="46"/>
      <c r="B776" s="46"/>
      <c r="C776" s="46"/>
      <c r="D776" s="46"/>
    </row>
    <row r="777" spans="1:4" s="40" customFormat="1" ht="30" customHeight="1">
      <c r="A777" s="46"/>
      <c r="B777" s="46"/>
      <c r="C777" s="46"/>
      <c r="D777" s="46"/>
    </row>
    <row r="778" spans="1:4" s="40" customFormat="1" ht="30" customHeight="1">
      <c r="A778" s="46"/>
      <c r="B778" s="46"/>
      <c r="C778" s="46"/>
      <c r="D778" s="46"/>
    </row>
    <row r="779" spans="1:4" s="40" customFormat="1" ht="30" customHeight="1">
      <c r="A779" s="46"/>
      <c r="B779" s="46"/>
      <c r="C779" s="46"/>
      <c r="D779" s="46"/>
    </row>
    <row r="780" spans="1:4" s="40" customFormat="1" ht="30" customHeight="1">
      <c r="A780" s="46"/>
      <c r="B780" s="46"/>
      <c r="C780" s="46"/>
      <c r="D780" s="46"/>
    </row>
    <row r="781" spans="1:4" s="40" customFormat="1" ht="30" customHeight="1">
      <c r="A781" s="46"/>
      <c r="B781" s="46"/>
      <c r="C781" s="46"/>
      <c r="D781" s="46"/>
    </row>
    <row r="782" spans="1:4" s="40" customFormat="1" ht="30" customHeight="1">
      <c r="A782" s="46"/>
      <c r="B782" s="46"/>
      <c r="C782" s="46"/>
      <c r="D782" s="46"/>
    </row>
    <row r="783" spans="1:4" s="40" customFormat="1" ht="30" customHeight="1">
      <c r="A783" s="46"/>
      <c r="B783" s="46"/>
      <c r="C783" s="46"/>
      <c r="D783" s="46"/>
    </row>
    <row r="784" spans="1:4" s="40" customFormat="1" ht="30" customHeight="1">
      <c r="A784" s="46"/>
      <c r="B784" s="46"/>
      <c r="C784" s="46"/>
      <c r="D784" s="46"/>
    </row>
    <row r="785" spans="1:4" s="40" customFormat="1" ht="30" customHeight="1">
      <c r="A785" s="46"/>
      <c r="B785" s="46"/>
      <c r="C785" s="46"/>
      <c r="D785" s="46"/>
    </row>
    <row r="786" spans="1:4" s="40" customFormat="1" ht="30" customHeight="1">
      <c r="A786" s="46"/>
      <c r="B786" s="46"/>
      <c r="C786" s="46"/>
      <c r="D786" s="46"/>
    </row>
    <row r="787" spans="1:4" s="40" customFormat="1" ht="30" customHeight="1">
      <c r="A787" s="46"/>
      <c r="B787" s="46"/>
      <c r="C787" s="46"/>
      <c r="D787" s="46"/>
    </row>
    <row r="788" spans="1:4" s="40" customFormat="1" ht="30" customHeight="1">
      <c r="A788" s="46"/>
      <c r="B788" s="46"/>
      <c r="C788" s="46"/>
      <c r="D788" s="46"/>
    </row>
    <row r="789" spans="1:4" s="40" customFormat="1" ht="30" customHeight="1">
      <c r="A789" s="46"/>
      <c r="B789" s="46"/>
      <c r="C789" s="46"/>
      <c r="D789" s="46"/>
    </row>
    <row r="790" spans="1:4" s="40" customFormat="1" ht="30" customHeight="1">
      <c r="A790" s="46"/>
      <c r="B790" s="46"/>
      <c r="C790" s="46"/>
      <c r="D790" s="46"/>
    </row>
    <row r="791" spans="1:4" s="40" customFormat="1" ht="30" customHeight="1">
      <c r="A791" s="46"/>
      <c r="B791" s="46"/>
      <c r="C791" s="46"/>
      <c r="D791" s="46"/>
    </row>
    <row r="792" spans="1:4" s="40" customFormat="1" ht="30" customHeight="1">
      <c r="A792" s="46"/>
      <c r="B792" s="46"/>
      <c r="C792" s="46"/>
      <c r="D792" s="46"/>
    </row>
    <row r="793" spans="1:4" s="40" customFormat="1" ht="30" customHeight="1">
      <c r="A793" s="46"/>
      <c r="B793" s="46"/>
      <c r="C793" s="46"/>
      <c r="D793" s="46"/>
    </row>
    <row r="794" spans="1:4" s="40" customFormat="1" ht="30" customHeight="1">
      <c r="A794" s="46"/>
      <c r="B794" s="46"/>
      <c r="C794" s="46"/>
      <c r="D794" s="46"/>
    </row>
    <row r="795" spans="1:4" s="40" customFormat="1" ht="30" customHeight="1">
      <c r="A795" s="46"/>
      <c r="B795" s="46"/>
      <c r="C795" s="46"/>
      <c r="D795" s="46"/>
    </row>
    <row r="796" spans="1:4" s="40" customFormat="1" ht="30" customHeight="1">
      <c r="A796" s="46"/>
      <c r="B796" s="46"/>
      <c r="C796" s="46"/>
      <c r="D796" s="46"/>
    </row>
    <row r="797" spans="1:4" s="40" customFormat="1" ht="30" customHeight="1">
      <c r="A797" s="46"/>
      <c r="B797" s="46"/>
      <c r="C797" s="46"/>
      <c r="D797" s="46"/>
    </row>
    <row r="798" spans="1:4" s="40" customFormat="1" ht="30" customHeight="1">
      <c r="A798" s="46"/>
      <c r="B798" s="46"/>
      <c r="C798" s="46"/>
      <c r="D798" s="46"/>
    </row>
    <row r="799" spans="1:4" s="40" customFormat="1" ht="30" customHeight="1">
      <c r="A799" s="46"/>
      <c r="B799" s="46"/>
      <c r="C799" s="46"/>
      <c r="D799" s="46"/>
    </row>
    <row r="800" spans="1:4" s="40" customFormat="1" ht="30" customHeight="1">
      <c r="A800" s="46"/>
      <c r="B800" s="46"/>
      <c r="C800" s="46"/>
      <c r="D800" s="46"/>
    </row>
    <row r="801" spans="1:4" s="40" customFormat="1" ht="30" customHeight="1">
      <c r="A801" s="46"/>
      <c r="B801" s="46"/>
      <c r="C801" s="46"/>
      <c r="D801" s="46"/>
    </row>
    <row r="802" spans="1:4" s="40" customFormat="1" ht="30" customHeight="1">
      <c r="A802" s="46"/>
      <c r="B802" s="46"/>
      <c r="C802" s="46"/>
      <c r="D802" s="46"/>
    </row>
    <row r="803" spans="1:4" s="40" customFormat="1" ht="30" customHeight="1">
      <c r="A803" s="46"/>
      <c r="B803" s="46"/>
      <c r="C803" s="46"/>
      <c r="D803" s="46"/>
    </row>
    <row r="804" spans="1:4" s="40" customFormat="1" ht="30" customHeight="1">
      <c r="A804" s="46"/>
      <c r="B804" s="46"/>
      <c r="C804" s="46"/>
      <c r="D804" s="46"/>
    </row>
    <row r="805" spans="1:4" s="40" customFormat="1" ht="30" customHeight="1">
      <c r="A805" s="46"/>
      <c r="B805" s="46"/>
      <c r="C805" s="46"/>
      <c r="D805" s="46"/>
    </row>
    <row r="806" spans="1:4" s="40" customFormat="1" ht="30" customHeight="1">
      <c r="A806" s="46"/>
      <c r="B806" s="46"/>
      <c r="C806" s="46"/>
      <c r="D806" s="46"/>
    </row>
    <row r="807" spans="1:4" s="40" customFormat="1" ht="30" customHeight="1">
      <c r="A807" s="46"/>
      <c r="B807" s="46"/>
      <c r="C807" s="46"/>
      <c r="D807" s="46"/>
    </row>
    <row r="808" spans="1:4" s="40" customFormat="1" ht="30" customHeight="1">
      <c r="A808" s="46"/>
      <c r="B808" s="46"/>
      <c r="C808" s="46"/>
      <c r="D808" s="46"/>
    </row>
    <row r="809" spans="1:4" s="40" customFormat="1" ht="30" customHeight="1">
      <c r="A809" s="46"/>
      <c r="B809" s="46"/>
      <c r="C809" s="46"/>
      <c r="D809" s="46"/>
    </row>
    <row r="810" spans="1:4" s="40" customFormat="1" ht="30" customHeight="1">
      <c r="A810" s="46"/>
      <c r="B810" s="46"/>
      <c r="C810" s="46"/>
      <c r="D810" s="46"/>
    </row>
    <row r="811" spans="1:4" s="40" customFormat="1" ht="30" customHeight="1">
      <c r="A811" s="46"/>
      <c r="B811" s="46"/>
      <c r="C811" s="46"/>
      <c r="D811" s="46"/>
    </row>
    <row r="812" spans="1:4" s="40" customFormat="1" ht="30" customHeight="1">
      <c r="A812" s="46"/>
      <c r="B812" s="46"/>
      <c r="C812" s="46"/>
      <c r="D812" s="46"/>
    </row>
    <row r="813" spans="1:4" s="40" customFormat="1" ht="30" customHeight="1">
      <c r="A813" s="46"/>
      <c r="B813" s="46"/>
      <c r="C813" s="46"/>
      <c r="D813" s="46"/>
    </row>
    <row r="814" spans="1:4" s="40" customFormat="1" ht="30" customHeight="1">
      <c r="A814" s="46"/>
      <c r="B814" s="46"/>
      <c r="C814" s="46"/>
      <c r="D814" s="46"/>
    </row>
    <row r="815" spans="1:4" s="40" customFormat="1" ht="30" customHeight="1">
      <c r="A815" s="46"/>
      <c r="B815" s="46"/>
      <c r="C815" s="46"/>
      <c r="D815" s="46"/>
    </row>
    <row r="816" spans="1:4" s="40" customFormat="1" ht="30" customHeight="1">
      <c r="A816" s="46"/>
      <c r="B816" s="46"/>
      <c r="C816" s="46"/>
      <c r="D816" s="46"/>
    </row>
    <row r="817" spans="1:4" s="40" customFormat="1" ht="30" customHeight="1">
      <c r="A817" s="46"/>
      <c r="B817" s="46"/>
      <c r="C817" s="46"/>
      <c r="D817" s="46"/>
    </row>
    <row r="818" spans="1:4" s="40" customFormat="1" ht="30" customHeight="1">
      <c r="A818" s="46"/>
      <c r="B818" s="46"/>
      <c r="C818" s="46"/>
      <c r="D818" s="46"/>
    </row>
    <row r="819" spans="1:4" s="40" customFormat="1" ht="30" customHeight="1">
      <c r="A819" s="46"/>
      <c r="B819" s="46"/>
      <c r="C819" s="46"/>
      <c r="D819" s="46"/>
    </row>
    <row r="820" spans="1:4" s="40" customFormat="1" ht="30" customHeight="1">
      <c r="A820" s="46"/>
      <c r="B820" s="46"/>
      <c r="C820" s="46"/>
      <c r="D820" s="46"/>
    </row>
    <row r="821" spans="1:4" s="40" customFormat="1" ht="30" customHeight="1">
      <c r="A821" s="46"/>
      <c r="B821" s="46"/>
      <c r="C821" s="46"/>
      <c r="D821" s="46"/>
    </row>
    <row r="822" spans="1:4" s="40" customFormat="1" ht="30" customHeight="1">
      <c r="A822" s="46"/>
      <c r="B822" s="46"/>
      <c r="C822" s="46"/>
      <c r="D822" s="46"/>
    </row>
    <row r="823" spans="1:4" s="40" customFormat="1" ht="30" customHeight="1">
      <c r="A823" s="46"/>
      <c r="B823" s="46"/>
      <c r="C823" s="46"/>
      <c r="D823" s="46"/>
    </row>
    <row r="824" spans="1:4" s="40" customFormat="1" ht="30" customHeight="1">
      <c r="A824" s="46"/>
      <c r="B824" s="46"/>
      <c r="C824" s="46"/>
      <c r="D824" s="46"/>
    </row>
    <row r="825" spans="1:4" s="40" customFormat="1" ht="30" customHeight="1">
      <c r="A825" s="46"/>
      <c r="B825" s="46"/>
      <c r="C825" s="46"/>
      <c r="D825" s="46"/>
    </row>
    <row r="826" spans="1:4" s="40" customFormat="1" ht="30" customHeight="1">
      <c r="A826" s="46"/>
      <c r="B826" s="46"/>
      <c r="C826" s="46"/>
      <c r="D826" s="46"/>
    </row>
    <row r="827" spans="1:4" s="40" customFormat="1" ht="30" customHeight="1">
      <c r="A827" s="46"/>
      <c r="B827" s="46"/>
      <c r="C827" s="46"/>
      <c r="D827" s="46"/>
    </row>
    <row r="828" spans="1:4" s="40" customFormat="1" ht="30" customHeight="1">
      <c r="A828" s="46"/>
      <c r="B828" s="46"/>
      <c r="C828" s="46"/>
      <c r="D828" s="46"/>
    </row>
    <row r="829" spans="1:4" s="40" customFormat="1" ht="30" customHeight="1">
      <c r="A829" s="46"/>
      <c r="B829" s="46"/>
      <c r="C829" s="46"/>
      <c r="D829" s="46"/>
    </row>
    <row r="830" spans="1:4" s="40" customFormat="1" ht="30" customHeight="1">
      <c r="A830" s="46"/>
      <c r="B830" s="46"/>
      <c r="C830" s="46"/>
      <c r="D830" s="46"/>
    </row>
    <row r="831" spans="1:4" s="40" customFormat="1" ht="30" customHeight="1">
      <c r="A831" s="46"/>
      <c r="B831" s="46"/>
      <c r="C831" s="46"/>
      <c r="D831" s="46"/>
    </row>
    <row r="832" spans="1:4" s="40" customFormat="1" ht="30" customHeight="1">
      <c r="A832" s="46"/>
      <c r="B832" s="46"/>
      <c r="C832" s="46"/>
      <c r="D832" s="46"/>
    </row>
    <row r="833" spans="1:4" s="40" customFormat="1" ht="30" customHeight="1">
      <c r="A833" s="46"/>
      <c r="B833" s="46"/>
      <c r="C833" s="46"/>
      <c r="D833" s="46"/>
    </row>
    <row r="834" spans="1:4" s="40" customFormat="1" ht="30" customHeight="1">
      <c r="A834" s="46"/>
      <c r="B834" s="46"/>
      <c r="C834" s="46"/>
      <c r="D834" s="46"/>
    </row>
    <row r="835" spans="1:4" s="40" customFormat="1" ht="30" customHeight="1">
      <c r="A835" s="46"/>
      <c r="B835" s="46"/>
      <c r="C835" s="46"/>
      <c r="D835" s="46"/>
    </row>
    <row r="836" spans="1:4" s="40" customFormat="1" ht="30" customHeight="1">
      <c r="A836" s="46"/>
      <c r="B836" s="46"/>
      <c r="C836" s="46"/>
      <c r="D836" s="46"/>
    </row>
    <row r="837" spans="1:4" s="40" customFormat="1" ht="30" customHeight="1">
      <c r="A837" s="46"/>
      <c r="B837" s="46"/>
      <c r="C837" s="46"/>
      <c r="D837" s="46"/>
    </row>
    <row r="838" spans="1:4" s="40" customFormat="1" ht="30" customHeight="1">
      <c r="A838" s="46"/>
      <c r="B838" s="46"/>
      <c r="C838" s="46"/>
      <c r="D838" s="46"/>
    </row>
    <row r="839" spans="1:4" s="40" customFormat="1" ht="30" customHeight="1">
      <c r="A839" s="46"/>
      <c r="B839" s="46"/>
      <c r="C839" s="46"/>
      <c r="D839" s="46"/>
    </row>
    <row r="840" spans="1:4" s="40" customFormat="1" ht="30" customHeight="1">
      <c r="A840" s="46"/>
      <c r="B840" s="46"/>
      <c r="C840" s="46"/>
      <c r="D840" s="46"/>
    </row>
    <row r="841" spans="1:4" s="40" customFormat="1" ht="30" customHeight="1">
      <c r="A841" s="46"/>
      <c r="B841" s="46"/>
      <c r="C841" s="46"/>
      <c r="D841" s="46"/>
    </row>
    <row r="842" spans="1:4" s="40" customFormat="1" ht="30" customHeight="1">
      <c r="A842" s="46"/>
      <c r="B842" s="46"/>
      <c r="C842" s="46"/>
      <c r="D842" s="46"/>
    </row>
    <row r="843" spans="1:4" s="40" customFormat="1" ht="30" customHeight="1">
      <c r="A843" s="46"/>
      <c r="B843" s="46"/>
      <c r="C843" s="46"/>
      <c r="D843" s="46"/>
    </row>
    <row r="844" spans="1:4" s="40" customFormat="1" ht="30" customHeight="1">
      <c r="A844" s="46"/>
      <c r="B844" s="46"/>
      <c r="C844" s="46"/>
      <c r="D844" s="46"/>
    </row>
    <row r="845" spans="1:4" s="40" customFormat="1" ht="30" customHeight="1">
      <c r="A845" s="46"/>
      <c r="B845" s="46"/>
      <c r="C845" s="46"/>
      <c r="D845" s="46"/>
    </row>
    <row r="846" spans="1:4" s="40" customFormat="1" ht="30" customHeight="1">
      <c r="A846" s="46"/>
      <c r="B846" s="46"/>
      <c r="C846" s="46"/>
      <c r="D846" s="46"/>
    </row>
    <row r="847" spans="1:4" s="40" customFormat="1" ht="30" customHeight="1">
      <c r="A847" s="46"/>
      <c r="B847" s="46"/>
      <c r="C847" s="46"/>
      <c r="D847" s="46"/>
    </row>
    <row r="848" spans="1:4" s="40" customFormat="1" ht="30" customHeight="1">
      <c r="A848" s="46"/>
      <c r="B848" s="46"/>
      <c r="C848" s="46"/>
      <c r="D848" s="46"/>
    </row>
    <row r="849" spans="1:4" s="40" customFormat="1" ht="30" customHeight="1">
      <c r="A849" s="46"/>
      <c r="B849" s="46"/>
      <c r="C849" s="46"/>
      <c r="D849" s="46"/>
    </row>
    <row r="850" spans="1:4" s="40" customFormat="1" ht="30" customHeight="1">
      <c r="A850" s="46"/>
      <c r="B850" s="46"/>
      <c r="C850" s="46"/>
      <c r="D850" s="46"/>
    </row>
    <row r="851" spans="1:4" s="40" customFormat="1" ht="30" customHeight="1">
      <c r="A851" s="46"/>
      <c r="B851" s="46"/>
      <c r="C851" s="46"/>
      <c r="D851" s="46"/>
    </row>
    <row r="852" spans="1:4" s="40" customFormat="1" ht="30" customHeight="1">
      <c r="A852" s="46"/>
      <c r="B852" s="46"/>
      <c r="C852" s="46"/>
      <c r="D852" s="46"/>
    </row>
    <row r="853" spans="1:4" s="40" customFormat="1" ht="30" customHeight="1">
      <c r="A853" s="46"/>
      <c r="B853" s="46"/>
      <c r="C853" s="46"/>
      <c r="D853" s="46"/>
    </row>
    <row r="854" spans="1:4" s="40" customFormat="1" ht="30" customHeight="1">
      <c r="A854" s="46"/>
      <c r="B854" s="46"/>
      <c r="C854" s="46"/>
      <c r="D854" s="46"/>
    </row>
    <row r="855" spans="1:4" s="40" customFormat="1" ht="30" customHeight="1">
      <c r="A855" s="46"/>
      <c r="B855" s="46"/>
      <c r="C855" s="46"/>
      <c r="D855" s="46"/>
    </row>
    <row r="856" spans="1:4" s="40" customFormat="1" ht="30" customHeight="1">
      <c r="A856" s="46"/>
      <c r="B856" s="46"/>
      <c r="C856" s="46"/>
      <c r="D856" s="46"/>
    </row>
    <row r="857" spans="1:4" s="40" customFormat="1" ht="30" customHeight="1">
      <c r="A857" s="46"/>
      <c r="B857" s="46"/>
      <c r="C857" s="46"/>
      <c r="D857" s="46"/>
    </row>
    <row r="858" spans="1:4" s="40" customFormat="1" ht="30" customHeight="1">
      <c r="A858" s="46"/>
      <c r="B858" s="46"/>
      <c r="C858" s="46"/>
      <c r="D858" s="46"/>
    </row>
    <row r="859" spans="1:4" s="40" customFormat="1" ht="30" customHeight="1">
      <c r="A859" s="46"/>
      <c r="B859" s="46"/>
      <c r="C859" s="46"/>
      <c r="D859" s="46"/>
    </row>
    <row r="860" spans="1:4" s="40" customFormat="1" ht="30" customHeight="1">
      <c r="A860" s="46"/>
      <c r="B860" s="46"/>
      <c r="C860" s="46"/>
      <c r="D860" s="46"/>
    </row>
    <row r="861" spans="1:4" s="40" customFormat="1" ht="30" customHeight="1">
      <c r="A861" s="46"/>
      <c r="B861" s="46"/>
      <c r="C861" s="46"/>
      <c r="D861" s="46"/>
    </row>
    <row r="862" spans="1:4" s="40" customFormat="1" ht="30" customHeight="1">
      <c r="A862" s="46"/>
      <c r="B862" s="46"/>
      <c r="C862" s="46"/>
      <c r="D862" s="46"/>
    </row>
    <row r="863" spans="1:4" s="40" customFormat="1" ht="30" customHeight="1">
      <c r="A863" s="46"/>
      <c r="B863" s="46"/>
      <c r="C863" s="46"/>
      <c r="D863" s="46"/>
    </row>
    <row r="864" spans="1:4" s="40" customFormat="1" ht="30" customHeight="1">
      <c r="A864" s="46"/>
      <c r="B864" s="46"/>
      <c r="C864" s="46"/>
      <c r="D864" s="46"/>
    </row>
    <row r="865" spans="1:4" s="40" customFormat="1" ht="30" customHeight="1">
      <c r="A865" s="46"/>
      <c r="B865" s="46"/>
      <c r="C865" s="46"/>
      <c r="D865" s="46"/>
    </row>
    <row r="866" spans="1:4" s="40" customFormat="1" ht="30" customHeight="1">
      <c r="A866" s="46"/>
      <c r="B866" s="46"/>
      <c r="C866" s="46"/>
      <c r="D866" s="46"/>
    </row>
    <row r="867" spans="1:4" s="40" customFormat="1" ht="30" customHeight="1">
      <c r="A867" s="46"/>
      <c r="B867" s="46"/>
      <c r="C867" s="46"/>
      <c r="D867" s="46"/>
    </row>
    <row r="868" spans="1:4" s="40" customFormat="1" ht="30" customHeight="1">
      <c r="A868" s="46"/>
      <c r="B868" s="46"/>
      <c r="C868" s="46"/>
      <c r="D868" s="46"/>
    </row>
    <row r="869" spans="1:4" s="40" customFormat="1" ht="30" customHeight="1">
      <c r="A869" s="46"/>
      <c r="B869" s="46"/>
      <c r="C869" s="46"/>
      <c r="D869" s="46"/>
    </row>
    <row r="870" spans="1:4" s="40" customFormat="1" ht="30" customHeight="1">
      <c r="A870" s="46"/>
      <c r="B870" s="46"/>
      <c r="C870" s="46"/>
      <c r="D870" s="46"/>
    </row>
    <row r="871" spans="1:4" s="40" customFormat="1" ht="30" customHeight="1">
      <c r="A871" s="46"/>
      <c r="B871" s="46"/>
      <c r="C871" s="46"/>
      <c r="D871" s="46"/>
    </row>
    <row r="872" spans="1:4" s="40" customFormat="1" ht="30" customHeight="1">
      <c r="A872" s="46"/>
      <c r="B872" s="46"/>
      <c r="C872" s="46"/>
      <c r="D872" s="46"/>
    </row>
    <row r="873" spans="1:4" s="40" customFormat="1" ht="30" customHeight="1">
      <c r="A873" s="46"/>
      <c r="B873" s="46"/>
      <c r="C873" s="46"/>
      <c r="D873" s="46"/>
    </row>
    <row r="874" spans="1:4" s="40" customFormat="1" ht="30" customHeight="1">
      <c r="A874" s="46"/>
      <c r="B874" s="46"/>
      <c r="C874" s="46"/>
      <c r="D874" s="46"/>
    </row>
    <row r="875" spans="1:4" s="40" customFormat="1" ht="30" customHeight="1">
      <c r="A875" s="46"/>
      <c r="B875" s="46"/>
      <c r="C875" s="46"/>
      <c r="D875" s="46"/>
    </row>
    <row r="876" spans="1:4" s="40" customFormat="1" ht="30" customHeight="1">
      <c r="A876" s="46"/>
      <c r="B876" s="46"/>
      <c r="C876" s="46"/>
      <c r="D876" s="46"/>
    </row>
    <row r="877" spans="1:4" s="40" customFormat="1" ht="30" customHeight="1">
      <c r="A877" s="46"/>
      <c r="B877" s="46"/>
      <c r="C877" s="46"/>
      <c r="D877" s="46"/>
    </row>
    <row r="878" spans="1:4" s="40" customFormat="1" ht="30" customHeight="1">
      <c r="A878" s="46"/>
      <c r="B878" s="46"/>
      <c r="C878" s="46"/>
      <c r="D878" s="46"/>
    </row>
    <row r="879" spans="1:4" s="40" customFormat="1" ht="30" customHeight="1">
      <c r="A879" s="46"/>
      <c r="B879" s="46"/>
      <c r="C879" s="46"/>
      <c r="D879" s="46"/>
    </row>
    <row r="880" spans="1:4" s="40" customFormat="1" ht="30" customHeight="1">
      <c r="A880" s="46"/>
      <c r="B880" s="46"/>
      <c r="C880" s="46"/>
      <c r="D880" s="46"/>
    </row>
    <row r="881" spans="1:4" s="40" customFormat="1" ht="30" customHeight="1">
      <c r="A881" s="46"/>
      <c r="B881" s="46"/>
      <c r="C881" s="46"/>
      <c r="D881" s="46"/>
    </row>
    <row r="882" spans="1:4" s="40" customFormat="1" ht="30" customHeight="1">
      <c r="A882" s="46"/>
      <c r="B882" s="46"/>
      <c r="C882" s="46"/>
      <c r="D882" s="46"/>
    </row>
    <row r="883" spans="1:4" s="40" customFormat="1" ht="30" customHeight="1">
      <c r="A883" s="46"/>
      <c r="B883" s="46"/>
      <c r="C883" s="46"/>
      <c r="D883" s="46"/>
    </row>
    <row r="884" spans="1:4" s="40" customFormat="1" ht="30" customHeight="1">
      <c r="A884" s="46"/>
      <c r="B884" s="46"/>
      <c r="C884" s="46"/>
      <c r="D884" s="46"/>
    </row>
    <row r="885" spans="1:4" s="40" customFormat="1" ht="30" customHeight="1">
      <c r="A885" s="46"/>
      <c r="B885" s="46"/>
      <c r="C885" s="46"/>
      <c r="D885" s="46"/>
    </row>
    <row r="886" spans="1:4" s="40" customFormat="1" ht="30" customHeight="1">
      <c r="A886" s="46"/>
      <c r="B886" s="46"/>
      <c r="C886" s="46"/>
      <c r="D886" s="46"/>
    </row>
    <row r="887" spans="1:4" s="40" customFormat="1" ht="30" customHeight="1">
      <c r="A887" s="46"/>
      <c r="B887" s="46"/>
      <c r="C887" s="46"/>
      <c r="D887" s="46"/>
    </row>
    <row r="888" spans="1:4" s="40" customFormat="1" ht="30" customHeight="1">
      <c r="A888" s="46"/>
      <c r="B888" s="46"/>
      <c r="C888" s="46"/>
      <c r="D888" s="46"/>
    </row>
    <row r="889" spans="1:4" s="40" customFormat="1" ht="30" customHeight="1">
      <c r="A889" s="46"/>
      <c r="B889" s="46"/>
      <c r="C889" s="46"/>
      <c r="D889" s="46"/>
    </row>
    <row r="890" spans="1:4" s="40" customFormat="1" ht="30" customHeight="1">
      <c r="A890" s="46"/>
      <c r="B890" s="46"/>
      <c r="C890" s="46"/>
      <c r="D890" s="46"/>
    </row>
    <row r="891" spans="1:4" s="40" customFormat="1" ht="30" customHeight="1">
      <c r="A891" s="46"/>
      <c r="B891" s="46"/>
      <c r="C891" s="46"/>
      <c r="D891" s="46"/>
    </row>
    <row r="892" spans="1:4" s="40" customFormat="1" ht="30" customHeight="1">
      <c r="A892" s="46"/>
      <c r="B892" s="46"/>
      <c r="C892" s="46"/>
      <c r="D892" s="46"/>
    </row>
    <row r="893" spans="1:4" s="40" customFormat="1" ht="30" customHeight="1">
      <c r="A893" s="46"/>
      <c r="B893" s="46"/>
      <c r="C893" s="46"/>
      <c r="D893" s="46"/>
    </row>
    <row r="894" spans="1:4" s="40" customFormat="1" ht="30" customHeight="1">
      <c r="A894" s="46"/>
      <c r="B894" s="46"/>
      <c r="C894" s="46"/>
      <c r="D894" s="46"/>
    </row>
    <row r="895" spans="1:4" s="40" customFormat="1" ht="30" customHeight="1">
      <c r="A895" s="46"/>
      <c r="B895" s="46"/>
      <c r="C895" s="46"/>
      <c r="D895" s="46"/>
    </row>
    <row r="896" spans="1:4" s="40" customFormat="1" ht="30" customHeight="1">
      <c r="A896" s="46"/>
      <c r="B896" s="46"/>
      <c r="C896" s="46"/>
      <c r="D896" s="46"/>
    </row>
    <row r="897" spans="1:4" s="40" customFormat="1" ht="30" customHeight="1">
      <c r="A897" s="46"/>
      <c r="B897" s="46"/>
      <c r="C897" s="46"/>
      <c r="D897" s="46"/>
    </row>
    <row r="898" spans="1:4" s="40" customFormat="1" ht="30" customHeight="1">
      <c r="A898" s="46"/>
      <c r="B898" s="46"/>
      <c r="C898" s="46"/>
      <c r="D898" s="46"/>
    </row>
    <row r="899" spans="1:4" s="40" customFormat="1" ht="30" customHeight="1">
      <c r="A899" s="46"/>
      <c r="B899" s="46"/>
      <c r="C899" s="46"/>
      <c r="D899" s="46"/>
    </row>
    <row r="900" spans="1:4" s="40" customFormat="1" ht="30" customHeight="1">
      <c r="A900" s="46"/>
      <c r="B900" s="46"/>
      <c r="C900" s="46"/>
      <c r="D900" s="46"/>
    </row>
    <row r="901" spans="1:4" s="40" customFormat="1" ht="30" customHeight="1">
      <c r="A901" s="46"/>
      <c r="B901" s="46"/>
      <c r="C901" s="46"/>
      <c r="D901" s="46"/>
    </row>
    <row r="902" spans="1:4" s="40" customFormat="1" ht="30" customHeight="1">
      <c r="A902" s="46"/>
      <c r="B902" s="46"/>
      <c r="C902" s="46"/>
      <c r="D902" s="46"/>
    </row>
    <row r="903" spans="1:4" s="40" customFormat="1" ht="30" customHeight="1">
      <c r="A903" s="46"/>
      <c r="B903" s="46"/>
      <c r="C903" s="46"/>
      <c r="D903" s="46"/>
    </row>
    <row r="904" spans="1:4" s="40" customFormat="1" ht="30" customHeight="1">
      <c r="A904" s="46"/>
      <c r="B904" s="46"/>
      <c r="C904" s="46"/>
      <c r="D904" s="46"/>
    </row>
    <row r="905" spans="1:4" s="40" customFormat="1" ht="30" customHeight="1">
      <c r="A905" s="46"/>
      <c r="B905" s="46"/>
      <c r="C905" s="46"/>
      <c r="D905" s="46"/>
    </row>
    <row r="906" spans="1:4" s="40" customFormat="1" ht="30" customHeight="1">
      <c r="A906" s="46"/>
      <c r="B906" s="46"/>
      <c r="C906" s="46"/>
      <c r="D906" s="46"/>
    </row>
    <row r="907" spans="1:4" s="40" customFormat="1" ht="30" customHeight="1">
      <c r="A907" s="46"/>
      <c r="B907" s="46"/>
      <c r="C907" s="46"/>
      <c r="D907" s="46"/>
    </row>
    <row r="908" spans="1:4" s="40" customFormat="1" ht="30" customHeight="1">
      <c r="A908" s="46"/>
      <c r="B908" s="46"/>
      <c r="C908" s="46"/>
      <c r="D908" s="46"/>
    </row>
    <row r="909" spans="1:4" s="40" customFormat="1" ht="30" customHeight="1">
      <c r="A909" s="46"/>
      <c r="B909" s="46"/>
      <c r="C909" s="46"/>
      <c r="D909" s="46"/>
    </row>
    <row r="910" spans="1:4" s="40" customFormat="1" ht="30" customHeight="1">
      <c r="A910" s="46"/>
      <c r="B910" s="46"/>
      <c r="C910" s="46"/>
      <c r="D910" s="46"/>
    </row>
    <row r="911" spans="1:4" s="40" customFormat="1" ht="30" customHeight="1">
      <c r="A911" s="46"/>
      <c r="B911" s="46"/>
      <c r="C911" s="46"/>
      <c r="D911" s="46"/>
    </row>
    <row r="912" spans="1:4" s="40" customFormat="1" ht="30" customHeight="1">
      <c r="A912" s="46"/>
      <c r="B912" s="46"/>
      <c r="C912" s="46"/>
      <c r="D912" s="46"/>
    </row>
    <row r="913" spans="1:4" s="40" customFormat="1" ht="30" customHeight="1">
      <c r="A913" s="46"/>
      <c r="B913" s="46"/>
      <c r="C913" s="46"/>
      <c r="D913" s="46"/>
    </row>
    <row r="914" spans="1:4" s="40" customFormat="1" ht="30" customHeight="1">
      <c r="A914" s="46"/>
      <c r="B914" s="46"/>
      <c r="C914" s="46"/>
      <c r="D914" s="46"/>
    </row>
    <row r="915" spans="1:4" s="40" customFormat="1" ht="30" customHeight="1">
      <c r="A915" s="46"/>
      <c r="B915" s="46"/>
      <c r="C915" s="46"/>
      <c r="D915" s="46"/>
    </row>
    <row r="916" spans="1:4" s="40" customFormat="1" ht="30" customHeight="1">
      <c r="A916" s="46"/>
      <c r="B916" s="46"/>
      <c r="C916" s="46"/>
      <c r="D916" s="46"/>
    </row>
    <row r="917" spans="1:4" s="40" customFormat="1" ht="30" customHeight="1">
      <c r="A917" s="46"/>
      <c r="B917" s="46"/>
      <c r="C917" s="46"/>
      <c r="D917" s="46"/>
    </row>
  </sheetData>
  <mergeCells count="14">
    <mergeCell ref="AD5:AD9"/>
    <mergeCell ref="AD10:AD15"/>
    <mergeCell ref="A3:D3"/>
    <mergeCell ref="A4:D4"/>
    <mergeCell ref="A5:A6"/>
    <mergeCell ref="B5:B6"/>
    <mergeCell ref="C5:C6"/>
    <mergeCell ref="D5:D6"/>
    <mergeCell ref="F3:I3"/>
    <mergeCell ref="F4:I4"/>
    <mergeCell ref="F5:F6"/>
    <mergeCell ref="G5:G6"/>
    <mergeCell ref="H5:H6"/>
    <mergeCell ref="I5:I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2C719-B4FD-4D1F-831F-1429F50417FA}">
  <dimension ref="A1:E19"/>
  <sheetViews>
    <sheetView topLeftCell="A12" workbookViewId="0">
      <selection activeCell="M18" sqref="M18"/>
    </sheetView>
  </sheetViews>
  <sheetFormatPr defaultRowHeight="14.45"/>
  <cols>
    <col min="2" max="2" width="50.140625" customWidth="1"/>
    <col min="5" max="5" width="10.7109375" bestFit="1" customWidth="1"/>
  </cols>
  <sheetData>
    <row r="1" spans="1:5">
      <c r="A1" s="36" t="s">
        <v>190</v>
      </c>
      <c r="B1" s="37"/>
      <c r="C1" s="58"/>
      <c r="D1" s="59" t="s">
        <v>191</v>
      </c>
      <c r="E1" s="60" t="s">
        <v>252</v>
      </c>
    </row>
    <row r="2" spans="1:5">
      <c r="A2" s="41" t="s">
        <v>193</v>
      </c>
      <c r="B2" s="42"/>
      <c r="C2" s="42"/>
      <c r="D2" s="42"/>
      <c r="E2" s="43"/>
    </row>
    <row r="3" spans="1:5" ht="14.45" customHeight="1">
      <c r="A3" s="41"/>
      <c r="B3" s="42"/>
      <c r="C3" s="42"/>
      <c r="D3" s="42"/>
      <c r="E3" s="43"/>
    </row>
    <row r="4" spans="1:5">
      <c r="A4" s="103" t="s">
        <v>253</v>
      </c>
      <c r="B4" s="103"/>
      <c r="C4" s="103"/>
      <c r="D4" s="103"/>
      <c r="E4" s="103"/>
    </row>
    <row r="5" spans="1:5" ht="27.6">
      <c r="A5" s="56" t="s">
        <v>254</v>
      </c>
      <c r="B5" s="56" t="s">
        <v>3</v>
      </c>
      <c r="C5" s="56" t="s">
        <v>195</v>
      </c>
      <c r="D5" s="56" t="s">
        <v>4</v>
      </c>
      <c r="E5" s="56" t="s">
        <v>255</v>
      </c>
    </row>
    <row r="6" spans="1:5">
      <c r="A6" s="44">
        <v>1</v>
      </c>
      <c r="B6" s="9" t="s">
        <v>256</v>
      </c>
      <c r="C6" s="44" t="s">
        <v>257</v>
      </c>
      <c r="D6" s="44" t="s">
        <v>258</v>
      </c>
      <c r="E6" s="45">
        <v>27</v>
      </c>
    </row>
    <row r="7" spans="1:5">
      <c r="A7" s="44">
        <v>2</v>
      </c>
      <c r="B7" s="9" t="s">
        <v>259</v>
      </c>
      <c r="C7" s="44" t="s">
        <v>232</v>
      </c>
      <c r="D7" s="44" t="s">
        <v>258</v>
      </c>
      <c r="E7" s="45">
        <v>54</v>
      </c>
    </row>
    <row r="8" spans="1:5" ht="27.6">
      <c r="A8" s="44">
        <v>3</v>
      </c>
      <c r="B8" s="61" t="s">
        <v>260</v>
      </c>
      <c r="C8" s="62" t="s">
        <v>232</v>
      </c>
      <c r="D8" s="62" t="s">
        <v>17</v>
      </c>
      <c r="E8" s="63">
        <v>15</v>
      </c>
    </row>
    <row r="9" spans="1:5">
      <c r="A9" s="44">
        <v>4</v>
      </c>
      <c r="B9" s="9" t="s">
        <v>261</v>
      </c>
      <c r="C9" s="44" t="s">
        <v>232</v>
      </c>
      <c r="D9" s="44" t="s">
        <v>17</v>
      </c>
      <c r="E9" s="45">
        <v>37</v>
      </c>
    </row>
    <row r="10" spans="1:5">
      <c r="A10" s="44">
        <v>5</v>
      </c>
      <c r="B10" s="9" t="s">
        <v>262</v>
      </c>
      <c r="C10" s="44" t="s">
        <v>232</v>
      </c>
      <c r="D10" s="44" t="s">
        <v>17</v>
      </c>
      <c r="E10" s="45">
        <v>52</v>
      </c>
    </row>
    <row r="11" spans="1:5">
      <c r="A11" s="44">
        <v>6</v>
      </c>
      <c r="B11" s="9" t="s">
        <v>263</v>
      </c>
      <c r="C11" s="44" t="s">
        <v>232</v>
      </c>
      <c r="D11" s="44" t="s">
        <v>17</v>
      </c>
      <c r="E11" s="45">
        <v>54</v>
      </c>
    </row>
    <row r="14" spans="1:5">
      <c r="A14" s="36" t="s">
        <v>190</v>
      </c>
      <c r="B14" s="37"/>
      <c r="C14" s="37"/>
      <c r="D14" s="59" t="s">
        <v>191</v>
      </c>
      <c r="E14" s="64" t="s">
        <v>252</v>
      </c>
    </row>
    <row r="15" spans="1:5">
      <c r="A15" s="41" t="s">
        <v>193</v>
      </c>
      <c r="B15" s="42"/>
      <c r="C15" s="42"/>
      <c r="D15" s="42"/>
      <c r="E15" s="43"/>
    </row>
    <row r="16" spans="1:5">
      <c r="A16" s="103" t="s">
        <v>264</v>
      </c>
      <c r="B16" s="103"/>
      <c r="C16" s="103"/>
      <c r="D16" s="103"/>
      <c r="E16" s="103"/>
    </row>
    <row r="17" spans="1:5" ht="27.6">
      <c r="A17" s="55" t="s">
        <v>254</v>
      </c>
      <c r="B17" s="55" t="s">
        <v>3</v>
      </c>
      <c r="C17" s="55" t="s">
        <v>195</v>
      </c>
      <c r="D17" s="55" t="s">
        <v>4</v>
      </c>
      <c r="E17" s="55" t="s">
        <v>255</v>
      </c>
    </row>
    <row r="18" spans="1:5">
      <c r="A18" s="44">
        <v>1</v>
      </c>
      <c r="B18" s="9" t="s">
        <v>265</v>
      </c>
      <c r="C18" s="44" t="s">
        <v>257</v>
      </c>
      <c r="D18" s="44" t="s">
        <v>258</v>
      </c>
      <c r="E18" s="45">
        <v>180</v>
      </c>
    </row>
    <row r="19" spans="1:5">
      <c r="A19" s="44">
        <v>2</v>
      </c>
      <c r="B19" s="9" t="s">
        <v>266</v>
      </c>
      <c r="C19" s="44" t="s">
        <v>257</v>
      </c>
      <c r="D19" s="44" t="s">
        <v>258</v>
      </c>
      <c r="E19" s="45">
        <v>60</v>
      </c>
    </row>
  </sheetData>
  <mergeCells count="2">
    <mergeCell ref="A4:E4"/>
    <mergeCell ref="A16:E16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874BB-2A91-4930-A3A3-D9BF4BE9E4CE}">
  <dimension ref="A1:E15"/>
  <sheetViews>
    <sheetView workbookViewId="0">
      <selection activeCell="G9" sqref="G9"/>
    </sheetView>
  </sheetViews>
  <sheetFormatPr defaultRowHeight="14.45"/>
  <cols>
    <col min="2" max="2" width="36.42578125" customWidth="1"/>
    <col min="5" max="5" width="11.140625" bestFit="1" customWidth="1"/>
  </cols>
  <sheetData>
    <row r="1" spans="1:5">
      <c r="A1" s="36" t="s">
        <v>190</v>
      </c>
      <c r="B1" s="37"/>
      <c r="C1" s="37"/>
      <c r="D1" s="59" t="s">
        <v>191</v>
      </c>
      <c r="E1" s="64" t="s">
        <v>252</v>
      </c>
    </row>
    <row r="2" spans="1:5">
      <c r="A2" s="41" t="s">
        <v>193</v>
      </c>
      <c r="B2" s="42"/>
      <c r="C2" s="42"/>
      <c r="D2" s="42"/>
      <c r="E2" s="43"/>
    </row>
    <row r="3" spans="1:5">
      <c r="A3" s="41"/>
      <c r="B3" s="42"/>
      <c r="C3" s="42"/>
      <c r="D3" s="42"/>
      <c r="E3" s="43"/>
    </row>
    <row r="4" spans="1:5">
      <c r="A4" s="103" t="s">
        <v>267</v>
      </c>
      <c r="B4" s="103"/>
      <c r="C4" s="103"/>
      <c r="D4" s="103"/>
      <c r="E4" s="103"/>
    </row>
    <row r="5" spans="1:5" ht="27.6">
      <c r="A5" s="55" t="s">
        <v>268</v>
      </c>
      <c r="B5" s="55" t="s">
        <v>3</v>
      </c>
      <c r="C5" s="55" t="s">
        <v>195</v>
      </c>
      <c r="D5" s="55" t="s">
        <v>4</v>
      </c>
      <c r="E5" s="55" t="s">
        <v>255</v>
      </c>
    </row>
    <row r="6" spans="1:5" ht="27.6">
      <c r="A6" s="44">
        <v>1</v>
      </c>
      <c r="B6" s="9" t="s">
        <v>269</v>
      </c>
      <c r="C6" s="44" t="s">
        <v>232</v>
      </c>
      <c r="D6" s="44" t="s">
        <v>270</v>
      </c>
      <c r="E6" s="45">
        <v>82.5</v>
      </c>
    </row>
    <row r="7" spans="1:5" ht="27.6">
      <c r="A7" s="44">
        <v>2</v>
      </c>
      <c r="B7" s="9" t="s">
        <v>271</v>
      </c>
      <c r="C7" s="44" t="s">
        <v>232</v>
      </c>
      <c r="D7" s="44" t="s">
        <v>270</v>
      </c>
      <c r="E7" s="45">
        <v>85</v>
      </c>
    </row>
    <row r="10" spans="1:5">
      <c r="A10" s="36" t="s">
        <v>190</v>
      </c>
      <c r="B10" s="37"/>
      <c r="C10" s="37"/>
      <c r="D10" s="59" t="s">
        <v>191</v>
      </c>
      <c r="E10" s="64" t="s">
        <v>272</v>
      </c>
    </row>
    <row r="11" spans="1:5">
      <c r="A11" s="41" t="s">
        <v>193</v>
      </c>
      <c r="B11" s="42"/>
      <c r="C11" s="42"/>
      <c r="D11" s="42"/>
      <c r="E11" s="43"/>
    </row>
    <row r="12" spans="1:5">
      <c r="A12" s="103" t="s">
        <v>273</v>
      </c>
      <c r="B12" s="103"/>
      <c r="C12" s="103"/>
      <c r="D12" s="103"/>
      <c r="E12" s="103"/>
    </row>
    <row r="13" spans="1:5" ht="27.6">
      <c r="A13" s="55" t="s">
        <v>254</v>
      </c>
      <c r="B13" s="55" t="s">
        <v>3</v>
      </c>
      <c r="C13" s="55" t="s">
        <v>195</v>
      </c>
      <c r="D13" s="55" t="s">
        <v>4</v>
      </c>
      <c r="E13" s="55" t="s">
        <v>255</v>
      </c>
    </row>
    <row r="14" spans="1:5">
      <c r="A14" s="44">
        <v>1</v>
      </c>
      <c r="B14" s="9" t="s">
        <v>274</v>
      </c>
      <c r="C14" s="44" t="s">
        <v>232</v>
      </c>
      <c r="D14" s="44" t="s">
        <v>258</v>
      </c>
      <c r="E14" s="45">
        <v>72</v>
      </c>
    </row>
    <row r="15" spans="1:5" ht="41.45">
      <c r="A15" s="44">
        <v>2</v>
      </c>
      <c r="B15" s="9" t="s">
        <v>275</v>
      </c>
      <c r="C15" s="44" t="s">
        <v>232</v>
      </c>
      <c r="D15" s="44" t="s">
        <v>258</v>
      </c>
      <c r="E15" s="45">
        <v>10</v>
      </c>
    </row>
  </sheetData>
  <mergeCells count="2">
    <mergeCell ref="A4:E4"/>
    <mergeCell ref="A12:E1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Klassify>
  <SNO>1</SNO>
  <KDate>2026-01-14 10:41:11</KDate>
  <Classification>INTERNAL</Classification>
  <Subclassification/>
  <HostName>JKTIKTPLT-080</HostName>
  <Domain_User>JKTI/hlswami</Domain_User>
  <IPAdd>10.200.210.54</IPAdd>
  <FilePath>C:\Users\HLSWAMI\Desktop\CTP_LTA\LTS # 2 Vs LTS # 3 - IED as on 11.09.2025.xlsx</FilePath>
  <KID>F8EDFC6E6437639039840718740016</KID>
  <UniqueName/>
  <Suggested/>
  <Justification/>
  <KlassifyGUID>6e793db6-acda-4c7c-9f7b-908755f085b0</KlassifyGUID>
</Klassify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2598ACC80DA6469323BF12BDA2E861" ma:contentTypeVersion="4" ma:contentTypeDescription="Create a new document." ma:contentTypeScope="" ma:versionID="a9d38b051e28b3a588b7447cc7d1c602">
  <xsd:schema xmlns:xsd="http://www.w3.org/2001/XMLSchema" xmlns:xs="http://www.w3.org/2001/XMLSchema" xmlns:p="http://schemas.microsoft.com/office/2006/metadata/properties" xmlns:ns2="d3974992-10f9-4110-ab2f-190afc5bba00" targetNamespace="http://schemas.microsoft.com/office/2006/metadata/properties" ma:root="true" ma:fieldsID="d50b79885709e1e1865b17385203fbe0" ns2:_="">
    <xsd:import namespace="d3974992-10f9-4110-ab2f-190afc5bba0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974992-10f9-4110-ab2f-190afc5bba0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F012645-BC45-4400-B1E6-DADAB5CD022A}"/>
</file>

<file path=customXml/itemProps2.xml><?xml version="1.0" encoding="utf-8"?>
<ds:datastoreItem xmlns:ds="http://schemas.openxmlformats.org/officeDocument/2006/customXml" ds:itemID="{172006B6-4079-4F28-8778-DEEA8A4FA380}"/>
</file>

<file path=customXml/itemProps3.xml><?xml version="1.0" encoding="utf-8"?>
<ds:datastoreItem xmlns:ds="http://schemas.openxmlformats.org/officeDocument/2006/customXml" ds:itemID="{FD5DA8CD-89F8-4CB4-A6F6-7D71253A90FB}"/>
</file>

<file path=customXml/itemProps4.xml><?xml version="1.0" encoding="utf-8"?>
<ds:datastoreItem xmlns:ds="http://schemas.openxmlformats.org/officeDocument/2006/customXml" ds:itemID="{D89FC7B8-4F3F-4BCB-998B-163F553BABF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Vishnu Vardhan V.</dc:creator>
  <cp:keywords>INTERNAL</cp:keywords>
  <dc:description/>
  <cp:lastModifiedBy>B Prathibha</cp:lastModifiedBy>
  <cp:revision/>
  <dcterms:created xsi:type="dcterms:W3CDTF">2022-06-01T09:43:43Z</dcterms:created>
  <dcterms:modified xsi:type="dcterms:W3CDTF">2026-07-27T10:57:03Z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0x0101000F2598ACC80DA6469323BF12BDA2E861</vt:lpwstr>
  </property>
  <property fmtid="{D5CDD505-2E9C-101B-9397-08002B2CF9AE}" pid="3" name="KlassifyGUID">
    <vt:lpwstr>6e793db6-acda-4c7c-9f7b-908755f085b0</vt:lpwstr>
  </property>
  <property fmtid="{D5CDD505-2E9C-101B-9397-08002B2CF9AE}" pid="4" name="Classification">
    <vt:lpwstr>INTERNAL</vt:lpwstr>
  </property>
  <property fmtid="{D5CDD505-2E9C-101B-9397-08002B2CF9AE}" pid="5" name="KID">
    <vt:lpwstr>F8EDFC6E6437639039840718740016</vt:lpwstr>
  </property>
</Properties>
</file>