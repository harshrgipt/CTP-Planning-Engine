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Building/"/>
    </mc:Choice>
  </mc:AlternateContent>
  <xr:revisionPtr revIDLastSave="856" documentId="8_{08123F25-66CE-4E0F-B8EB-F427BED8329E}" xr6:coauthVersionLast="47" xr6:coauthVersionMax="47" xr10:uidLastSave="{C1752AD8-4D7B-419B-8BDB-6DA13A15CAD5}"/>
  <bookViews>
    <workbookView xWindow="-108" yWindow="-108" windowWidth="23256" windowHeight="12456" activeTab="2" xr2:uid="{00000000-000D-0000-FFFF-FFFF00000000}"/>
  </bookViews>
  <sheets>
    <sheet name="BUILDING MATRIX" sheetId="3" r:id="rId1"/>
    <sheet name="to be clarified by plant team" sheetId="4" r:id="rId2"/>
    <sheet name="shared by ram over mail" sheetId="5" r:id="rId3"/>
    <sheet name="OE SIZE MC PREFERNCE MATRIX" sheetId="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2" hidden="1">'shared by ram over mail'!$A$1:$O$70</definedName>
    <definedName name="_xlnm._FilterDatabase" localSheetId="0" hidden="1">'BUILDING MATRIX'!$A$1:$O$1</definedName>
    <definedName name="APEX_LIST">#REF!</definedName>
    <definedName name="Bead_wire">[1]Reference!$Q$4:$R$13</definedName>
    <definedName name="Brk_circumf">#REF!</definedName>
    <definedName name="Brk_table">[2]Reference!$G$72:$G$73</definedName>
    <definedName name="BT_Seg">'[1]SETUP NEW'!$C$17:$F$18</definedName>
    <definedName name="Category">[3]Reference!$E$3:$E$15</definedName>
    <definedName name="CONST_TABLE">[3]Reference!$I$3:$I$17</definedName>
    <definedName name="Cpd_table">[1]Reference!$B$108:$D$218</definedName>
    <definedName name="cur_blad14">[1]Reference!$D$223:$D$230</definedName>
    <definedName name="DS">#REF!</definedName>
    <definedName name="Exp_drum">'[1]SETUP NEW'!$C$12:$K$15</definedName>
    <definedName name="Fab_table">[1]Reference!$G$108:$I$134</definedName>
    <definedName name="GT">#REF!</definedName>
    <definedName name="GTT">#REF!</definedName>
    <definedName name="j">[3]Reference!#REF!</definedName>
    <definedName name="Length_table">[1]Reference!$E$92:$K$103</definedName>
    <definedName name="NGT">#REF!</definedName>
    <definedName name="Ply_code">[2]Reference!$G$65:$G$68</definedName>
    <definedName name="Sc_table">[1]Reference!$K$21:$L$72</definedName>
    <definedName name="SETUP_NEW">'[1]SETUP NEW'!$B$2:$K$11</definedName>
    <definedName name="size_ind">#REF!</definedName>
    <definedName name="SPEC_CATEGORY">[1]Reference!$E$3:$F$15</definedName>
    <definedName name="SWRS_LIST">#REF!</definedName>
    <definedName name="Trd_cap">[4]Reference!$B$81:$B$86</definedName>
    <definedName name="TREAD_LIST">#REF!</definedName>
    <definedName name="TUP_BLADDER">'[1]SETUP NEW'!$N$3:$N$9</definedName>
    <definedName name="TYPE">[3]Reference!$BE$15:$BE$16</definedName>
    <definedName name="v">[5]Reference!$G$88:$I$103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4" i="3" l="1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289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1" i="3"/>
  <c r="H1" i="3" s="1"/>
  <c r="I1" i="3" s="1"/>
  <c r="J1" i="3" s="1"/>
  <c r="K1" i="3" s="1"/>
  <c r="L1" i="3" s="1"/>
  <c r="M1" i="3" s="1"/>
  <c r="N1" i="3" s="1"/>
</calcChain>
</file>

<file path=xl/sharedStrings.xml><?xml version="1.0" encoding="utf-8"?>
<sst xmlns="http://schemas.openxmlformats.org/spreadsheetml/2006/main" count="2851" uniqueCount="885">
  <si>
    <t>FG CODE</t>
  </si>
  <si>
    <t>GT CODE</t>
  </si>
  <si>
    <t>Size</t>
  </si>
  <si>
    <t>1325214617107MSXT0</t>
  </si>
  <si>
    <t>T1457 STAR</t>
  </si>
  <si>
    <t>T145/70 R 17 STAR</t>
  </si>
  <si>
    <t>P</t>
  </si>
  <si>
    <t>1325232015113RBXT0</t>
  </si>
  <si>
    <t>3215 BLA XAT</t>
  </si>
  <si>
    <t>32X11.50 R15 BLAZZE X-AT</t>
  </si>
  <si>
    <t>1325232015113RRXT0</t>
  </si>
  <si>
    <t>3205 RAN XAT</t>
  </si>
  <si>
    <t>32X11.50 R15 LT RANGER X-A/T</t>
  </si>
  <si>
    <t>1325231015109QRMT0</t>
  </si>
  <si>
    <t>3125 RAN MT</t>
  </si>
  <si>
    <t>31X10.5 R15 RANGER MT</t>
  </si>
  <si>
    <t>1325210015109QRAT0</t>
  </si>
  <si>
    <t>3115 RAN</t>
  </si>
  <si>
    <t>31 X 10.5 R15 RANGER A/T</t>
  </si>
  <si>
    <t>1325231015109RRXT0</t>
  </si>
  <si>
    <t>3105 RAN XAT</t>
  </si>
  <si>
    <t>31X10.50 R15 RANGER X-A/T</t>
  </si>
  <si>
    <t>1325231015109RBXT0</t>
  </si>
  <si>
    <t>3005 BLA XAT</t>
  </si>
  <si>
    <t>31X10.50 R15 BLAZZE X-A/T</t>
  </si>
  <si>
    <t>1325222517102HBHT0</t>
  </si>
  <si>
    <t>2777 BLA HT</t>
  </si>
  <si>
    <t>225/65 R17 BLAZZE HT</t>
  </si>
  <si>
    <t>1325223616105TRAT0</t>
  </si>
  <si>
    <t>2776 RAN AT</t>
  </si>
  <si>
    <t>235/70 R16 105T RANGER AT</t>
  </si>
  <si>
    <t>1325223715104RRXT0</t>
  </si>
  <si>
    <t>2775 RAN XAT</t>
  </si>
  <si>
    <t>235/75 R15 RANGER X-A/T</t>
  </si>
  <si>
    <t>1225227518123SBET0</t>
  </si>
  <si>
    <t>2768 BLA XAT</t>
  </si>
  <si>
    <t>275/65 R18 BLAZZE XAT</t>
  </si>
  <si>
    <t>1325226716114TRHT0</t>
  </si>
  <si>
    <t>2756 RAN HT</t>
  </si>
  <si>
    <t>265/75 R16 RANGER HT</t>
  </si>
  <si>
    <t>1325223715105TBHT0</t>
  </si>
  <si>
    <t>2755 BLA HT</t>
  </si>
  <si>
    <t>235/75 R 15 BLAZZE HT</t>
  </si>
  <si>
    <t>1325223317103YLEV0</t>
  </si>
  <si>
    <t>2737 LEVI</t>
  </si>
  <si>
    <t>235/55 R17 LEVITAS 103 Y TL</t>
  </si>
  <si>
    <t>1325227616114TBHT0</t>
  </si>
  <si>
    <t>2716 BLA HT</t>
  </si>
  <si>
    <t>275/70 R16 BLAZZE HT</t>
  </si>
  <si>
    <t>1325226617118QRMT0</t>
  </si>
  <si>
    <t>2677 RAN MT</t>
  </si>
  <si>
    <t>265/70 R17 RANGER M/T LT</t>
  </si>
  <si>
    <t>1325226716123KRMT0</t>
  </si>
  <si>
    <t>2676 RAN MT</t>
  </si>
  <si>
    <t>265/75 R 16 Ranger MT 123/120</t>
  </si>
  <si>
    <t>1325223616105HRHT0</t>
  </si>
  <si>
    <t>2676 RAN HT</t>
  </si>
  <si>
    <t>235/70 R16 RANGER HT</t>
  </si>
  <si>
    <t>1325226418110HRHP0</t>
  </si>
  <si>
    <t>2668 RAN HTP</t>
  </si>
  <si>
    <t>265/60 R18 RANGER HT+</t>
  </si>
  <si>
    <t>1325226517112HRHT0</t>
  </si>
  <si>
    <t>2667 RAN HT</t>
  </si>
  <si>
    <t>265/65 R17 RANGER HT</t>
  </si>
  <si>
    <t>1325226616111TRHT0</t>
  </si>
  <si>
    <t>2666 RAN HT</t>
  </si>
  <si>
    <t>265/70R16 RANGER HT</t>
  </si>
  <si>
    <t>1325226418110HRXT0</t>
  </si>
  <si>
    <t>2658 RAN XAT</t>
  </si>
  <si>
    <t>265/60 R 18 RAN XAT</t>
  </si>
  <si>
    <t>1325226517112HBHT0</t>
  </si>
  <si>
    <t>2657 BLA HT</t>
  </si>
  <si>
    <t>265/65 R17 BLAZZE HT</t>
  </si>
  <si>
    <t>1325226616111TBHT0</t>
  </si>
  <si>
    <t>2656 BLA HT</t>
  </si>
  <si>
    <t>265/70 R16 BLAZZE HT</t>
  </si>
  <si>
    <t>1325226617115TRHT0</t>
  </si>
  <si>
    <t>2627 RAN HT</t>
  </si>
  <si>
    <t>265/70R17_RANGER HT_115 T TL</t>
  </si>
  <si>
    <t>1325225518111HRAT1</t>
  </si>
  <si>
    <t>2618 RAN ATB</t>
  </si>
  <si>
    <t>255/65 R18 RAN AT BSW</t>
  </si>
  <si>
    <t>1325226517112HRXT0</t>
  </si>
  <si>
    <t>2617 RAN XAT</t>
  </si>
  <si>
    <t>265/65 R 17 RANGER XAT</t>
  </si>
  <si>
    <t>1325226716114TBHT0</t>
  </si>
  <si>
    <t>2616 BLA HT</t>
  </si>
  <si>
    <t>265/75 R16 BLAZZE HT</t>
  </si>
  <si>
    <t>1325223616109SELZ0</t>
  </si>
  <si>
    <t>2576 EZO TATA</t>
  </si>
  <si>
    <t>235/70R16 ELANZO REINFORCED TATA</t>
  </si>
  <si>
    <t>1325220615106SRAT0</t>
  </si>
  <si>
    <t>2575 RAN AT</t>
  </si>
  <si>
    <t>205/70 R15 C RANGER AT</t>
  </si>
  <si>
    <t>1325225418108HRHT0</t>
  </si>
  <si>
    <t>2568 RAN HTP</t>
  </si>
  <si>
    <t>255/60R18 RANGER HT+</t>
  </si>
  <si>
    <t>1325225518111HRHB0</t>
  </si>
  <si>
    <t>2568 RAN HT2</t>
  </si>
  <si>
    <t>255/65 R18 RAN HT2</t>
  </si>
  <si>
    <t>1325225518111HRAT0</t>
  </si>
  <si>
    <t>2568 RAN AT</t>
  </si>
  <si>
    <t>255/65 R18 RAN AT</t>
  </si>
  <si>
    <t>1325223517104HETR0</t>
  </si>
  <si>
    <t>2567 EZO TOU</t>
  </si>
  <si>
    <t>235/65 R17 ELANZO TOURING</t>
  </si>
  <si>
    <t>1325220515094VUTP0</t>
  </si>
  <si>
    <t>2565 UXT</t>
  </si>
  <si>
    <t>205/65R15 UX TOURING</t>
  </si>
  <si>
    <t>1325225518111HRHP0</t>
  </si>
  <si>
    <t>2558 RAN HTP</t>
  </si>
  <si>
    <t>255/65 R18 RANGER HT+</t>
  </si>
  <si>
    <t>1325223317103VUX10</t>
  </si>
  <si>
    <t>2557 UX1 EXP</t>
  </si>
  <si>
    <t>235/55 R17 UX1 EXP</t>
  </si>
  <si>
    <t>1325220316091VURL0</t>
  </si>
  <si>
    <t>2556 ROYL</t>
  </si>
  <si>
    <t>205/55R16 UX ROYALE</t>
  </si>
  <si>
    <t>1325221416095VURL0</t>
  </si>
  <si>
    <t>2526 ROYL</t>
  </si>
  <si>
    <t xml:space="preserve">215/60R16 UX ROYALE </t>
  </si>
  <si>
    <t>1325220516095HURL1</t>
  </si>
  <si>
    <t xml:space="preserve">2516 ROYL </t>
  </si>
  <si>
    <t>205/65 R16 UX ROYALE(Dom/EXP)</t>
  </si>
  <si>
    <t>1325220416092HBHT0</t>
  </si>
  <si>
    <t>2506 BLA HT</t>
  </si>
  <si>
    <t>205/60 R16 BLAZZE HT</t>
  </si>
  <si>
    <t>1325224716111SELS0</t>
  </si>
  <si>
    <t>2476 SUP MM</t>
  </si>
  <si>
    <t>245/75 R16 ELANZO SUPRA</t>
  </si>
  <si>
    <t>1325224716120NRMT0</t>
  </si>
  <si>
    <t>2476 RAN MT</t>
  </si>
  <si>
    <t>245/75 R 16 RANGER MT</t>
  </si>
  <si>
    <t>1325220516095HETR2</t>
  </si>
  <si>
    <t>2466 EZO TOU</t>
  </si>
  <si>
    <t>205/65 R16 ELANZO TOURING ADV. OE</t>
  </si>
  <si>
    <t>1325222317101YLEVY</t>
  </si>
  <si>
    <t>2457 LEVI</t>
  </si>
  <si>
    <t>225/55 R17 LEVITAS 101Y TL</t>
  </si>
  <si>
    <t>1325221715100SRAT0</t>
  </si>
  <si>
    <t>2455 RAN AT</t>
  </si>
  <si>
    <t>215/75 R15 RANGER AT</t>
  </si>
  <si>
    <t>1325224118100WUX10</t>
  </si>
  <si>
    <t>2448 UX1</t>
  </si>
  <si>
    <t>245/45 R18 UX1 100 W</t>
  </si>
  <si>
    <t>1325224117099WLEV0</t>
  </si>
  <si>
    <t>2447 LEVI</t>
  </si>
  <si>
    <t>245/45 R17 UX LEVITAS</t>
  </si>
  <si>
    <t>1325224118100WLEV0</t>
  </si>
  <si>
    <t>2428 LEVI</t>
  </si>
  <si>
    <t>245/45R18 LEVITAS 100 W TL</t>
  </si>
  <si>
    <t>1325224117099VUX10</t>
  </si>
  <si>
    <t>2417 UX1</t>
  </si>
  <si>
    <t>245/45 R17 UX1</t>
  </si>
  <si>
    <t>1325224716111SELSE</t>
  </si>
  <si>
    <t>2416 SUP</t>
  </si>
  <si>
    <t>245/75 R16 ELANZO SUPRA (W-109)</t>
  </si>
  <si>
    <t>1325224018097WUX10</t>
  </si>
  <si>
    <t>2408 UX1</t>
  </si>
  <si>
    <t>245/40 R18 UX1 97 W</t>
  </si>
  <si>
    <t>1325223517104HRHP0</t>
  </si>
  <si>
    <t>2377 RAN HTP</t>
  </si>
  <si>
    <t>235/65 R17 RANGER HT+</t>
  </si>
  <si>
    <t>1325223616105SELN0</t>
  </si>
  <si>
    <t>2376 EZO MM</t>
  </si>
  <si>
    <t>235/70 R16 ELANZO</t>
  </si>
  <si>
    <t>1325223715104QRMT0</t>
  </si>
  <si>
    <t>2375 RAN MT</t>
  </si>
  <si>
    <t>235/75 R 15 RANGER MT</t>
  </si>
  <si>
    <t>1325223715105TRHT0</t>
  </si>
  <si>
    <t>2375 RAN HT</t>
  </si>
  <si>
    <t>235/75 R 15 RANGER HT</t>
  </si>
  <si>
    <t>1325223418103VRHP0</t>
  </si>
  <si>
    <t>2368 RAN HT</t>
  </si>
  <si>
    <t>235/60 R18 RANGER HT</t>
  </si>
  <si>
    <t>1325223418103VETR0</t>
  </si>
  <si>
    <t>2368 EZO TOU</t>
  </si>
  <si>
    <t>235/60 R18 ELANZO TOURING</t>
  </si>
  <si>
    <t>1325223517104TRXT0</t>
  </si>
  <si>
    <t>2367 RAN XAT</t>
  </si>
  <si>
    <t>235/65 R17 104H RANGER XAT</t>
  </si>
  <si>
    <t>1325223517104HRHT0</t>
  </si>
  <si>
    <t>2367 RAN HT</t>
  </si>
  <si>
    <t>235/65 R17 104H RANGER HT</t>
  </si>
  <si>
    <t>1325223516103TURL0</t>
  </si>
  <si>
    <t>2366 ROYL</t>
  </si>
  <si>
    <t>235/65R16 UX ROYALE</t>
  </si>
  <si>
    <t>1325223317099VUX10</t>
  </si>
  <si>
    <t>2357 UX1</t>
  </si>
  <si>
    <t>235/55R17 UX1</t>
  </si>
  <si>
    <t>1325223616105HBHT0</t>
  </si>
  <si>
    <t>2356 BLA HT</t>
  </si>
  <si>
    <t>235/70 R16 BLAZZE HT</t>
  </si>
  <si>
    <t>1325223118098VUX10</t>
  </si>
  <si>
    <t>2348 UX1</t>
  </si>
  <si>
    <t>235/45 R18UX1</t>
  </si>
  <si>
    <t>1325223518106HETR0</t>
  </si>
  <si>
    <t>2338 EZO TOU</t>
  </si>
  <si>
    <t>235/65R18 Elanzo Touring 106 H Export</t>
  </si>
  <si>
    <t>1325223517104HBHT0</t>
  </si>
  <si>
    <t>2337 BLA HT</t>
  </si>
  <si>
    <t>235/65 R17 BLAZZE HT</t>
  </si>
  <si>
    <t>1325223715104RBXT0</t>
  </si>
  <si>
    <t>2335 BLA XAT</t>
  </si>
  <si>
    <t>235/75 R15 BLAZZE X-A/T</t>
  </si>
  <si>
    <t>1325222217098YLEVY</t>
  </si>
  <si>
    <t>2287 LEVI</t>
  </si>
  <si>
    <t>225/50 R17 LEVITAS ULTRA</t>
  </si>
  <si>
    <t>1325222517102HRHT0</t>
  </si>
  <si>
    <t>2277 RAN HT</t>
  </si>
  <si>
    <t>225/65 R17 RANGER HT</t>
  </si>
  <si>
    <t>1325227616114TRHT0</t>
  </si>
  <si>
    <t>2276 RAN HT</t>
  </si>
  <si>
    <t>275/70 R16 RANGER HT</t>
  </si>
  <si>
    <t>1325221615109SRAT0</t>
  </si>
  <si>
    <t>2275 RAN AT</t>
  </si>
  <si>
    <t>215/70 R15 RANGER AT</t>
  </si>
  <si>
    <t>1325222418104HUX10</t>
  </si>
  <si>
    <t>2268 UX1</t>
  </si>
  <si>
    <t>225/60 R18 UX1 104 H</t>
  </si>
  <si>
    <t>1325221417096HURL0</t>
  </si>
  <si>
    <t>2267 ROYL HYU</t>
  </si>
  <si>
    <t xml:space="preserve">215/60R17 UX ROYALE </t>
  </si>
  <si>
    <t>1325221516098HRHT0</t>
  </si>
  <si>
    <t>2266 RAN HT</t>
  </si>
  <si>
    <t>215/65 R16 RANGER HT</t>
  </si>
  <si>
    <t>1325222317101VUX10</t>
  </si>
  <si>
    <t>2257 UX1</t>
  </si>
  <si>
    <t>225/55R17 UX1 101 V TL</t>
  </si>
  <si>
    <t>1325222416098VURL0</t>
  </si>
  <si>
    <t>2256 ROYL</t>
  </si>
  <si>
    <t>225/60-R-16 UX - ROYALE</t>
  </si>
  <si>
    <t>1325222117094YLEV0</t>
  </si>
  <si>
    <t>2247 LEVI</t>
  </si>
  <si>
    <t>225/45 R17 UX LEVITAS</t>
  </si>
  <si>
    <t>1325222417099HURL0</t>
  </si>
  <si>
    <t>2237 ROYL</t>
  </si>
  <si>
    <t>225/60-R-17 UX - ROYALE</t>
  </si>
  <si>
    <t>1325222217098VUX10</t>
  </si>
  <si>
    <t>2227 UX1 EXP</t>
  </si>
  <si>
    <t>225/50 R17 UX1 EXP</t>
  </si>
  <si>
    <t>1325222316099YLEVY</t>
  </si>
  <si>
    <t>2226 LEVI</t>
  </si>
  <si>
    <t>225/55 R16 LEVITAS 99Y TL</t>
  </si>
  <si>
    <t>1325222217094VUX10</t>
  </si>
  <si>
    <t>2217 UX1</t>
  </si>
  <si>
    <t>225/50R17 UX1</t>
  </si>
  <si>
    <t>1325223517104HRPG0</t>
  </si>
  <si>
    <t>2177 RAN HT</t>
  </si>
  <si>
    <t>35/65R17 RANGER HT PUNCTURE GUARD</t>
  </si>
  <si>
    <t>1325221716101TRHT0</t>
  </si>
  <si>
    <t>2176 RAN HT</t>
  </si>
  <si>
    <t>215/75 R16 RANGER HT</t>
  </si>
  <si>
    <t>1325221715100SRPG0</t>
  </si>
  <si>
    <t>2175 RAN HT</t>
  </si>
  <si>
    <t>215/75 R15 RANGER HT</t>
  </si>
  <si>
    <t>1325221417096HRHT0</t>
  </si>
  <si>
    <t>2167 RAN HT</t>
  </si>
  <si>
    <t>215/60 R17 RANGER HT</t>
  </si>
  <si>
    <t>1325221417096HRHE0</t>
  </si>
  <si>
    <t>2167 RAN HPE</t>
  </si>
  <si>
    <t>215/60 R17 RANGER HPE</t>
  </si>
  <si>
    <t>1325221516098HBHT0</t>
  </si>
  <si>
    <t>2166 BLA HT</t>
  </si>
  <si>
    <t>215/65 R16 BLAZZE HT</t>
  </si>
  <si>
    <t>1325221317098VUX10</t>
  </si>
  <si>
    <t>2157 UX1</t>
  </si>
  <si>
    <t>215/55R17 UX1</t>
  </si>
  <si>
    <t>1325221317094VURL0</t>
  </si>
  <si>
    <t>2157 ROYL KIA</t>
  </si>
  <si>
    <t>215/55R17 UX ROYALE 94 V</t>
  </si>
  <si>
    <t>1325221317094VRHE3</t>
  </si>
  <si>
    <t>2157 RAN HPE</t>
  </si>
  <si>
    <t>215/55 R 17 Ran HPE</t>
  </si>
  <si>
    <t>1325221716101TBHT0</t>
  </si>
  <si>
    <t>2156 BLA HT</t>
  </si>
  <si>
    <t>215/75 R16 BLAZZE HT</t>
  </si>
  <si>
    <t>1325121715100SBRU0</t>
  </si>
  <si>
    <t>2155 BRU</t>
  </si>
  <si>
    <t>215/75R15 BRUTE PASSENGER</t>
  </si>
  <si>
    <t>1325223517104HRHT2</t>
  </si>
  <si>
    <t>2127 RAN HT</t>
  </si>
  <si>
    <t>235/65 R17 RANGER HT 104H Motorsport</t>
  </si>
  <si>
    <t>1325221516098HURL0</t>
  </si>
  <si>
    <t>2126 ROYL</t>
  </si>
  <si>
    <t>215/65-R-16 UX - ROYALE</t>
  </si>
  <si>
    <t>1325221Z15113RRAT0</t>
  </si>
  <si>
    <t>2125 RAN AT</t>
  </si>
  <si>
    <t>215 R15 RANGER AT</t>
  </si>
  <si>
    <t>1325226517112HRHT1</t>
  </si>
  <si>
    <t>2117 RAN HTW</t>
  </si>
  <si>
    <t>265/65 R17 RANGER HT WSW</t>
  </si>
  <si>
    <t>1325221715100SRHT1</t>
  </si>
  <si>
    <t>2115 RAN HTW</t>
  </si>
  <si>
    <t>215/75 R15 RANGER HT WSW</t>
  </si>
  <si>
    <t>1325220516095HUTR0</t>
  </si>
  <si>
    <t>2096 UXT</t>
  </si>
  <si>
    <t>205/65 R16 UX TOURING</t>
  </si>
  <si>
    <t>1325220516095HETR0</t>
  </si>
  <si>
    <t>2096 EZO TOU</t>
  </si>
  <si>
    <t>205/65 R16 ELANZO TOURING</t>
  </si>
  <si>
    <t>1325220416092HURL1</t>
  </si>
  <si>
    <t>2086 ROYL FORD</t>
  </si>
  <si>
    <t>205/60 R16 UX ROYALE FORD</t>
  </si>
  <si>
    <t>1325220416092HRHT0</t>
  </si>
  <si>
    <t>2076 RAN HT</t>
  </si>
  <si>
    <t>205/60 R16 RANGER HT</t>
  </si>
  <si>
    <t>1225225615113SRAT0</t>
  </si>
  <si>
    <t>2075 RAN AT</t>
  </si>
  <si>
    <t>255/70 R15 RANGER AT</t>
  </si>
  <si>
    <t>1325220416092HENX0</t>
  </si>
  <si>
    <t>2066 NXT MARUTI</t>
  </si>
  <si>
    <t>205/60 R16 ELANZO NXT YBA</t>
  </si>
  <si>
    <t>1325220516095HTMX0</t>
  </si>
  <si>
    <t>2066 MAX</t>
  </si>
  <si>
    <t>205/65R16 TAXIMAX</t>
  </si>
  <si>
    <t>1325220415091VUX10</t>
  </si>
  <si>
    <t>2065 UX1</t>
  </si>
  <si>
    <t>205/60 R15 UX1</t>
  </si>
  <si>
    <t>1325221217095VUX10</t>
  </si>
  <si>
    <t>2057 UX1</t>
  </si>
  <si>
    <t>215/50R17 UX1</t>
  </si>
  <si>
    <t>1325220316091VUX10</t>
  </si>
  <si>
    <t>2056 UX1</t>
  </si>
  <si>
    <t>205/55 R16 UX1</t>
  </si>
  <si>
    <t>1325220516095HURP0</t>
  </si>
  <si>
    <t>2056 ROYL</t>
  </si>
  <si>
    <t>205/65R16 UX ROYALE</t>
  </si>
  <si>
    <t>1325221715100SRHT0</t>
  </si>
  <si>
    <t>2055 RAN HT</t>
  </si>
  <si>
    <t>1325220416092VURL0</t>
  </si>
  <si>
    <t>2046 ROYL EXP</t>
  </si>
  <si>
    <t>205/60 R16 UX ROYALE EXPORT</t>
  </si>
  <si>
    <t>1325221715100SBHT0</t>
  </si>
  <si>
    <t>2045 BLA HT</t>
  </si>
  <si>
    <t>215/75 R15 BLAZZE HT</t>
  </si>
  <si>
    <t>1325220416092HURL0</t>
  </si>
  <si>
    <t>2036 ROYL MSIL</t>
  </si>
  <si>
    <t>205/60 R16 UX ROYALE MSIL YBA</t>
  </si>
  <si>
    <t>1325220515094VETR0</t>
  </si>
  <si>
    <t>2035 EZO TOU</t>
  </si>
  <si>
    <t>205/65 R15 ELANZO TOURING TL</t>
  </si>
  <si>
    <t>1325220316094VUX10</t>
  </si>
  <si>
    <t>2026 UX1 EXP</t>
  </si>
  <si>
    <t>205/55 R16 UX1 EXP</t>
  </si>
  <si>
    <t>1325220415095VUX10</t>
  </si>
  <si>
    <t>2025 UX1 EXP</t>
  </si>
  <si>
    <t>205/60 R15 UX1 EXP</t>
  </si>
  <si>
    <t>1325223616105TRAT1</t>
  </si>
  <si>
    <t>2016 RAN ATW</t>
  </si>
  <si>
    <t>235/70 R16 105T RANGER AT WSW</t>
  </si>
  <si>
    <t>1325221715100SRAT1</t>
  </si>
  <si>
    <t>2015 RAN ATW</t>
  </si>
  <si>
    <t>215/75 R15 RANGER AT WSW</t>
  </si>
  <si>
    <t>1325221715100SRHT2</t>
  </si>
  <si>
    <t>2005 RAN HT MM</t>
  </si>
  <si>
    <t>215/75 R15 RANGER HT MM</t>
  </si>
  <si>
    <t>1325219515091HURL2</t>
  </si>
  <si>
    <t>1995 ROYL KIA</t>
  </si>
  <si>
    <t>195/65R15 UX ROYALE</t>
  </si>
  <si>
    <t>1325219515091VURL0</t>
  </si>
  <si>
    <t>1985 ROYL</t>
  </si>
  <si>
    <t>195/65 R15 UX ROYALE</t>
  </si>
  <si>
    <t>1325219415092VUX10</t>
  </si>
  <si>
    <t>1975 UX1 EXP</t>
  </si>
  <si>
    <t>195/60 R15 UX1 EXP</t>
  </si>
  <si>
    <t>1325219416089VRHE0</t>
  </si>
  <si>
    <t>1966 RAN HPE</t>
  </si>
  <si>
    <t>195/60 16 RANGER HPE 89V</t>
  </si>
  <si>
    <t>1325219415088VUX10</t>
  </si>
  <si>
    <t>1965 UX1</t>
  </si>
  <si>
    <t>195/60 R15 UX1</t>
  </si>
  <si>
    <t>1325219515091HURL3</t>
  </si>
  <si>
    <t xml:space="preserve">1965 ROYL </t>
  </si>
  <si>
    <t>195/65R15 UX ROYALE TL 91H</t>
  </si>
  <si>
    <t>1325219414086HUSP0</t>
  </si>
  <si>
    <t>1964 SPT</t>
  </si>
  <si>
    <t>195/60 R14 ULTIMA SPORT</t>
  </si>
  <si>
    <t>1325219315085VUX10</t>
  </si>
  <si>
    <t>1955 UX1</t>
  </si>
  <si>
    <t>195/55 R15 UX1</t>
  </si>
  <si>
    <t>1325219515091VUXA0</t>
  </si>
  <si>
    <t>1945 ALP</t>
  </si>
  <si>
    <t>195/65R15 UX ALP</t>
  </si>
  <si>
    <t>1325219315089VUX10</t>
  </si>
  <si>
    <t>1935 UX1 EXP</t>
  </si>
  <si>
    <t>195/55R15 UX1 EXP</t>
  </si>
  <si>
    <t>1225219Z15008SXC11</t>
  </si>
  <si>
    <t>1925 XPC1</t>
  </si>
  <si>
    <t>195 R15 ULTIMA XPC1 AL</t>
  </si>
  <si>
    <t>1225219Z15008SXC10</t>
  </si>
  <si>
    <t>1915 XPC1</t>
  </si>
  <si>
    <t>195 R15 ULTIMA XPC1</t>
  </si>
  <si>
    <t>1D25219Z14008SXC10</t>
  </si>
  <si>
    <t>1914 XPC1</t>
  </si>
  <si>
    <t>195 R14 ULTIMA XPC1</t>
  </si>
  <si>
    <t>1225119Z15008SXC10</t>
  </si>
  <si>
    <t>1905 XPC1</t>
  </si>
  <si>
    <t>195 R15 ULTIMA XPC1 TT</t>
  </si>
  <si>
    <t>1325218415084TTMX0</t>
  </si>
  <si>
    <t>1895 MAX</t>
  </si>
  <si>
    <t>185/60 R15 TAXIMAX</t>
  </si>
  <si>
    <t>1325218614088TTMX0</t>
  </si>
  <si>
    <t>1894 MAX</t>
  </si>
  <si>
    <t>185/70 R14 TAXIMAX</t>
  </si>
  <si>
    <t>1425118916008QBRN0</t>
  </si>
  <si>
    <t>1886 BRU MM</t>
  </si>
  <si>
    <t>185/85 R16 BRUTE TT</t>
  </si>
  <si>
    <t>1325218515088HTMX0</t>
  </si>
  <si>
    <t>1885 MAX</t>
  </si>
  <si>
    <t>185/65 R15 TAXIMAX</t>
  </si>
  <si>
    <t>1325218614088HURL0</t>
  </si>
  <si>
    <t>1884 ROYL</t>
  </si>
  <si>
    <t>185/70 R14 UX ROYALE</t>
  </si>
  <si>
    <t>1325218515088TUXA0</t>
  </si>
  <si>
    <t>1875 ALP</t>
  </si>
  <si>
    <t>185/65R15 UX ALP</t>
  </si>
  <si>
    <t>1325218613086HUNE0</t>
  </si>
  <si>
    <t>1873 NEO</t>
  </si>
  <si>
    <t>185/70 R13 ULTIMA NEO</t>
  </si>
  <si>
    <t>1325218515088TVEC0</t>
  </si>
  <si>
    <t>1865 VEC NISSAN</t>
  </si>
  <si>
    <t>185/65R15 VECTRA NISSAN</t>
  </si>
  <si>
    <t>1325218514086HUSPE</t>
  </si>
  <si>
    <t>1864 SPT</t>
  </si>
  <si>
    <t>185/65 R14 ULTIMA SPORT</t>
  </si>
  <si>
    <t>1325218316083HURL0</t>
  </si>
  <si>
    <t>1856 ROYL</t>
  </si>
  <si>
    <t>185/55 R16 UX ROYALE</t>
  </si>
  <si>
    <t>1325218515088TVEC1</t>
  </si>
  <si>
    <t>1855 VEC RENAULT</t>
  </si>
  <si>
    <t>185/65 R15 VECTRA RENAULT</t>
  </si>
  <si>
    <t>1325218515088HURL2</t>
  </si>
  <si>
    <t>1855 ROYL HYU</t>
  </si>
  <si>
    <t>185/65 R15 UX ROYALE HYUNDAI 88 H</t>
  </si>
  <si>
    <t>1D25118014010RXPC0</t>
  </si>
  <si>
    <t>1854 XPC TT</t>
  </si>
  <si>
    <t>185 R14 ULTIMA XPC TT</t>
  </si>
  <si>
    <t>1325218514086HURL0</t>
  </si>
  <si>
    <t>1854 ROYL</t>
  </si>
  <si>
    <t>185/65 R14 UX ROYALE</t>
  </si>
  <si>
    <t>1D25218014010RXPCT</t>
  </si>
  <si>
    <t>1844 XPC TML</t>
  </si>
  <si>
    <t>185 R14 ULTIMA XPC1 TML</t>
  </si>
  <si>
    <t>1325218515088SVEC1</t>
  </si>
  <si>
    <t>1835 VEC MSIL</t>
  </si>
  <si>
    <t>185/65 R15 VECTRA MSIL-SWIFT</t>
  </si>
  <si>
    <t>1325218515088HUTR0</t>
  </si>
  <si>
    <t>1835 UXT</t>
  </si>
  <si>
    <t>185/65 R15 UX TOURING</t>
  </si>
  <si>
    <t>1325218614088TVECE</t>
  </si>
  <si>
    <t>1834 VEC EXP</t>
  </si>
  <si>
    <t>185/70R14 VECTRA TL-EXPORT</t>
  </si>
  <si>
    <t>1D25218Z14008RXC10</t>
  </si>
  <si>
    <t>1824 XPC1</t>
  </si>
  <si>
    <t>185 R14 ULTIMA XPC1</t>
  </si>
  <si>
    <t>1325118916008QRBT0</t>
  </si>
  <si>
    <t>1816 RAN BRT</t>
  </si>
  <si>
    <t>185/85 R16 RANGER BRT</t>
  </si>
  <si>
    <t>1D25218Z14008QXPC0</t>
  </si>
  <si>
    <t>1814 LT</t>
  </si>
  <si>
    <t>185 R14 ULTIMA XPC</t>
  </si>
  <si>
    <t>1325218515088TVEUE</t>
  </si>
  <si>
    <t>1805 VEC</t>
  </si>
  <si>
    <t>185/65R15 VECTRA</t>
  </si>
  <si>
    <t>1D25118Z14008QXPC0</t>
  </si>
  <si>
    <t>1804 XPC TT</t>
  </si>
  <si>
    <t>185 R 14 ULTIMA XPC TT</t>
  </si>
  <si>
    <t>1325217614084TTORE</t>
  </si>
  <si>
    <t>1784 VEC</t>
  </si>
  <si>
    <t>175/70R14 VECTRA+</t>
  </si>
  <si>
    <t>1325217614084TVECE</t>
  </si>
  <si>
    <t>1774 VEC</t>
  </si>
  <si>
    <t>175/70R14 VECTRA</t>
  </si>
  <si>
    <t>1325217613082TUNE0</t>
  </si>
  <si>
    <t>1773 NEO</t>
  </si>
  <si>
    <t>175/70 R13 ULTIMA NEO</t>
  </si>
  <si>
    <t>1325217612080HUNE0</t>
  </si>
  <si>
    <t>1772 NEO</t>
  </si>
  <si>
    <t>175/70 R12 ULTIMA NEO</t>
  </si>
  <si>
    <t>1325217515084HURL2</t>
  </si>
  <si>
    <t>1765 ROYL HYU</t>
  </si>
  <si>
    <t>175/65 R15 ROYAL HYU</t>
  </si>
  <si>
    <t>1325217514082HVEC0</t>
  </si>
  <si>
    <t>1754 VEC HONDA</t>
  </si>
  <si>
    <t>175/65 R14 VECTRA</t>
  </si>
  <si>
    <t>1325217514082TUTR0</t>
  </si>
  <si>
    <t>1724 UXT</t>
  </si>
  <si>
    <t>175/65 R14 UX TOURING</t>
  </si>
  <si>
    <t>1325217614095QXPC0</t>
  </si>
  <si>
    <t>1714 XPC GM</t>
  </si>
  <si>
    <t>175/70R14C ULTIMA XPC CHEVROLET</t>
  </si>
  <si>
    <t>1325216614081SUTR0</t>
  </si>
  <si>
    <t>1694 UXT</t>
  </si>
  <si>
    <t>165/70 R14 UX TOURING</t>
  </si>
  <si>
    <t>1325216814085SURL0</t>
  </si>
  <si>
    <t>1694 ROYL MSIL</t>
  </si>
  <si>
    <t>165/80 R14 UX ROYALE</t>
  </si>
  <si>
    <t>1325116815087SXPC0</t>
  </si>
  <si>
    <t>1685 XPC</t>
  </si>
  <si>
    <t>165/80R 15 ULTIMA XPC</t>
  </si>
  <si>
    <t>1325216814085STOR0</t>
  </si>
  <si>
    <t>1684 TOR MARUTI</t>
  </si>
  <si>
    <t>165/80R14 TORNADO MARUTHI</t>
  </si>
  <si>
    <t>1325216814085TUSP0</t>
  </si>
  <si>
    <t>1684 SPT</t>
  </si>
  <si>
    <t>165/80 R14 ULTIMA SPORT</t>
  </si>
  <si>
    <t>1325216614081SVEC0</t>
  </si>
  <si>
    <t>1674 VEC MSIL</t>
  </si>
  <si>
    <t>165/70 R14 VECTRA MSIL</t>
  </si>
  <si>
    <t>1325216614081STMX0</t>
  </si>
  <si>
    <t>1674 MAX</t>
  </si>
  <si>
    <t>165/70 R14 TAXIMAX</t>
  </si>
  <si>
    <t>1325216613079HUNE0</t>
  </si>
  <si>
    <t>1673 NEO</t>
  </si>
  <si>
    <t>165/70 R13 ULTIMA NEO trail</t>
  </si>
  <si>
    <t>1325216612077TUSP0</t>
  </si>
  <si>
    <t>1672 SPT</t>
  </si>
  <si>
    <t>165/70R12 ULTIMA SPORTS</t>
  </si>
  <si>
    <t>1325216514079SUSP0</t>
  </si>
  <si>
    <t>1664 SPT</t>
  </si>
  <si>
    <t>165/65R14 ULTIMA SPORTS</t>
  </si>
  <si>
    <t>1325216514079TTMX0</t>
  </si>
  <si>
    <t>1644 MAX</t>
  </si>
  <si>
    <t>165/65 R14 TAXIMAX</t>
  </si>
  <si>
    <t>1D25216814008QXPC0</t>
  </si>
  <si>
    <t>1634 XPC TATA</t>
  </si>
  <si>
    <t>165 R14 ULTIMA XPC TATA</t>
  </si>
  <si>
    <t>1325116513077TTOR0</t>
  </si>
  <si>
    <t>1633 TOR</t>
  </si>
  <si>
    <t>165/65R13 TORNADO TT</t>
  </si>
  <si>
    <t>1D25116814008QXPC0</t>
  </si>
  <si>
    <t>1624 XPC TATA</t>
  </si>
  <si>
    <t>1325216513077TUHL0</t>
  </si>
  <si>
    <t>1623 UHL</t>
  </si>
  <si>
    <t>165/65 R13 ULTIMA HI LIFE TL</t>
  </si>
  <si>
    <t>1325216814008QXPC0</t>
  </si>
  <si>
    <t>1614 XPC NISSAN</t>
  </si>
  <si>
    <t>165R14 ULTIMA XPC</t>
  </si>
  <si>
    <t>1325216514079TETR0</t>
  </si>
  <si>
    <t>1604 EZO TOU</t>
  </si>
  <si>
    <t>165/65 R14 ELANZO TOURING</t>
  </si>
  <si>
    <t>1325215813079TUNE0</t>
  </si>
  <si>
    <t>1593 NEO</t>
  </si>
  <si>
    <t>155/80 R13 ULTIMA NEO</t>
  </si>
  <si>
    <t>1325215813079TUNE5</t>
  </si>
  <si>
    <t>1583 NEO TATA</t>
  </si>
  <si>
    <t>155/80 R13 ULTIMA NEO TATA</t>
  </si>
  <si>
    <t>1325215613075TUNX0</t>
  </si>
  <si>
    <t>1573 NXT</t>
  </si>
  <si>
    <t>155/70R13 ULTIMA NXT TL</t>
  </si>
  <si>
    <t>1325215514075TUNE0</t>
  </si>
  <si>
    <t>1564 NEO</t>
  </si>
  <si>
    <t>155/65 R14 ULTIMA NEO</t>
  </si>
  <si>
    <t>1325215513073TTOR0</t>
  </si>
  <si>
    <t>1563 TOR</t>
  </si>
  <si>
    <t>155/65R13 TORNADO TL</t>
  </si>
  <si>
    <t>1325215813079TUNE4</t>
  </si>
  <si>
    <t>1563 NEO MSIL</t>
  </si>
  <si>
    <t>155/80 R13 ULTIMA NEO NEXT GEN-79 T TL</t>
  </si>
  <si>
    <t>1325215514075TUNEE</t>
  </si>
  <si>
    <t>1554 NEO MM</t>
  </si>
  <si>
    <t>155/65 R14 ULTIMA NEO MM</t>
  </si>
  <si>
    <t>1325215813079TTMX0</t>
  </si>
  <si>
    <t>1553 MAX</t>
  </si>
  <si>
    <t>155/80 R13 TAXIMAX</t>
  </si>
  <si>
    <t>1D25215013008SXC1T</t>
  </si>
  <si>
    <t>1543 XPC1</t>
  </si>
  <si>
    <t>155/70 R13 ULTIMA XPC1</t>
  </si>
  <si>
    <t>1325215613075TUNE1</t>
  </si>
  <si>
    <t>1543 NEO</t>
  </si>
  <si>
    <t>155/70 R13 ULTIMA NEO</t>
  </si>
  <si>
    <t>1325215613075TUHL0</t>
  </si>
  <si>
    <t>1523 UHL</t>
  </si>
  <si>
    <t>155/70 R13 ULTIMA HI LIFE TL</t>
  </si>
  <si>
    <t>1225215013008SXC10</t>
  </si>
  <si>
    <t>1513 XPC1 MSIL</t>
  </si>
  <si>
    <t>155 R13 C ULTIMA XPC1 90/89 S TL (MSIL)</t>
  </si>
  <si>
    <t>1325215513073TUNE0</t>
  </si>
  <si>
    <t>1513 NEO</t>
  </si>
  <si>
    <t>155/65 R 13 ULTIMA NEO</t>
  </si>
  <si>
    <t>1225215Z12008RXC10</t>
  </si>
  <si>
    <t>1512 XPC1</t>
  </si>
  <si>
    <t>155 R12 ULTIMA XPC1</t>
  </si>
  <si>
    <t>1325215813079TUNE3</t>
  </si>
  <si>
    <t>1503 NEO MSIL</t>
  </si>
  <si>
    <t>155/80 R13 ULTIMA NEO MSIL</t>
  </si>
  <si>
    <t>1325214813075SETR0</t>
  </si>
  <si>
    <t>1493 EZO TOU</t>
  </si>
  <si>
    <t>145/80R13_ELANZO TOURING_75S TL</t>
  </si>
  <si>
    <t>1325114812074TUHL0</t>
  </si>
  <si>
    <t>1492 UHL</t>
  </si>
  <si>
    <t>145/80R12 ULTIMA HI LIFE</t>
  </si>
  <si>
    <t>1325214812074TUNE1</t>
  </si>
  <si>
    <t>1492 NEO HYU</t>
  </si>
  <si>
    <t>145/80 R12 ULTIMA NEO</t>
  </si>
  <si>
    <t>1325214813075SUHL0</t>
  </si>
  <si>
    <t>1483 UHL</t>
  </si>
  <si>
    <t>145/80 R13 ULTIMA HI LIFE TL</t>
  </si>
  <si>
    <t>1325214813075SUNX0</t>
  </si>
  <si>
    <t>1483 NXT MSIL</t>
  </si>
  <si>
    <t>145/80 R13 ULTIMA NXT MSIL</t>
  </si>
  <si>
    <t>1325214812074TUNX0</t>
  </si>
  <si>
    <t>1482 NXT</t>
  </si>
  <si>
    <t>145/80R12 ULTIMA NXT TL</t>
  </si>
  <si>
    <t>1325214613071TUNX0</t>
  </si>
  <si>
    <t>1473 NXT</t>
  </si>
  <si>
    <t>145/70R13 ULTIMA NXT TL</t>
  </si>
  <si>
    <t>1325214612069TUNX0</t>
  </si>
  <si>
    <t>1472 NXT</t>
  </si>
  <si>
    <t>145/70R12 ULTIMA NXT TL</t>
  </si>
  <si>
    <t>1325114812074TUNX0</t>
  </si>
  <si>
    <t>1462 NXT</t>
  </si>
  <si>
    <t>145/80R12 ULTIMA NXT TT</t>
  </si>
  <si>
    <t>1325214813075STMX0</t>
  </si>
  <si>
    <t>1453 MAX</t>
  </si>
  <si>
    <t>145/80 R13 TAXIMAX</t>
  </si>
  <si>
    <t>1D25214012008QXPCM</t>
  </si>
  <si>
    <t>1452 XPC MM</t>
  </si>
  <si>
    <t>145 R12 ULTIMA XPC M&amp;M</t>
  </si>
  <si>
    <t>1325214812074TULT0</t>
  </si>
  <si>
    <t>1442 XP</t>
  </si>
  <si>
    <t>145/80 R12 ULTIMA XP</t>
  </si>
  <si>
    <t>1325114613071TUNX0</t>
  </si>
  <si>
    <t>1433 NXT</t>
  </si>
  <si>
    <t>145/70R13 ULTIMA NXT TT</t>
  </si>
  <si>
    <t>1325114612069TUNX0</t>
  </si>
  <si>
    <t>1432 NXT</t>
  </si>
  <si>
    <t>145/70R12 ULTIMA NXT TT</t>
  </si>
  <si>
    <t>1D25114012008QXPC0</t>
  </si>
  <si>
    <t>1412 XPC MAHINDRA</t>
  </si>
  <si>
    <t>145 R12 ULTIMA XPC MAHINDRA</t>
  </si>
  <si>
    <t>1D25214012008QXPCT</t>
  </si>
  <si>
    <t>1402 XPC TATA</t>
  </si>
  <si>
    <t>145 R12 ULTIMA XPC TL TATA</t>
  </si>
  <si>
    <t>1325221318095HURL0</t>
  </si>
  <si>
    <t xml:space="preserve"> 2158 ROYL HYU</t>
  </si>
  <si>
    <t>215/55R18_UX ROYALE_95H TL</t>
  </si>
  <si>
    <t>1325223517104HRHT1</t>
  </si>
  <si>
    <t xml:space="preserve"> 2017 RAN HTW</t>
  </si>
  <si>
    <t>235/65 R17 RANGER HT 104H RWL</t>
  </si>
  <si>
    <t>1325214812074TUHL0</t>
  </si>
  <si>
    <t>GT 1482 UHL</t>
  </si>
  <si>
    <t>145 80 R12 ULTIMA HILIFE TL</t>
  </si>
  <si>
    <t>1325216814085SUTR0</t>
  </si>
  <si>
    <t>1654 UXT</t>
  </si>
  <si>
    <t>165/80 R14 UX TOURING</t>
  </si>
  <si>
    <t>1325217716093HRHE0</t>
  </si>
  <si>
    <t>1776 RAN HPE</t>
  </si>
  <si>
    <t>175/75 R16 RANGER HPE 93 H XL</t>
  </si>
  <si>
    <t>1325218515088TURL1</t>
  </si>
  <si>
    <t>1865 ROYL RENO</t>
  </si>
  <si>
    <t>185/65 R15 UX ROYALE HYUNDAI</t>
  </si>
  <si>
    <t>1325219416089HURL1</t>
  </si>
  <si>
    <t>1916 ROYL</t>
  </si>
  <si>
    <t>195/60 R16 UX ROYALE</t>
  </si>
  <si>
    <t>1325219315089VUX1E</t>
  </si>
  <si>
    <t>1985 UX1 XL</t>
  </si>
  <si>
    <t>1325222318098HRHE0</t>
  </si>
  <si>
    <t>2258 RAN HPE</t>
  </si>
  <si>
    <t>225/55R18 RANGER HPE</t>
  </si>
  <si>
    <t>1325221417096HURP0</t>
  </si>
  <si>
    <t>2267 ROYL PG</t>
  </si>
  <si>
    <t>215/60 R17 UX ROYALE PUNCTURE GUARD</t>
  </si>
  <si>
    <t>1325221416095VURP0</t>
  </si>
  <si>
    <t>2526 ROYL PG</t>
  </si>
  <si>
    <t>215/60 R16 UX ROYALE</t>
  </si>
  <si>
    <t>1325226517120LRHTZ</t>
  </si>
  <si>
    <t>2657 RAN HT</t>
  </si>
  <si>
    <t>1325226418110TRXT0</t>
  </si>
  <si>
    <t>2668 RAN XATW</t>
  </si>
  <si>
    <t>265/60 R 18 Ranger XATW 110T</t>
  </si>
  <si>
    <t>1325223916120NRMT0</t>
  </si>
  <si>
    <t>2856 RAN MT</t>
  </si>
  <si>
    <t>235/85 R16 Ranger MT 120/116N TL</t>
  </si>
  <si>
    <t>1325218614088TVEC0</t>
  </si>
  <si>
    <t>1874 VEC MM</t>
  </si>
  <si>
    <t>185/70 R14 VECTRA MAHINDRA</t>
  </si>
  <si>
    <t>1325215813079SVECO</t>
  </si>
  <si>
    <t>1583 VEC NISSAN</t>
  </si>
  <si>
    <t>155/80R13 VECTRA NISSAN</t>
  </si>
  <si>
    <t>1325218614088SVEC0</t>
  </si>
  <si>
    <t>1844 VEC NISSAN</t>
  </si>
  <si>
    <t>185/70R14 VECTRA NISSAN</t>
  </si>
  <si>
    <t>1325215813083TUNE0</t>
  </si>
  <si>
    <t>155/80 R13 ULTIMA NEO TML 83 T</t>
  </si>
  <si>
    <t>1325216814085SETR0</t>
  </si>
  <si>
    <t>1654 EZO TOU</t>
  </si>
  <si>
    <t>165/80 R 14 UX TOURING 85 S</t>
  </si>
  <si>
    <t>1325215813079TUNE2</t>
  </si>
  <si>
    <t>1533 NEO TATA</t>
  </si>
  <si>
    <t>1D25219Z14008SXC11</t>
  </si>
  <si>
    <t>1924 XPC1</t>
  </si>
  <si>
    <t>1325216514079TUTR0</t>
  </si>
  <si>
    <t>1604 UXT</t>
  </si>
  <si>
    <t>165/65 R14 UX TOURING</t>
  </si>
  <si>
    <t>1325218514086HUTR0</t>
  </si>
  <si>
    <t>1844 UXT</t>
  </si>
  <si>
    <t>185/65 R14 UX TOURING</t>
  </si>
  <si>
    <t>1325218415084TUTR0</t>
  </si>
  <si>
    <t>1825 UXT</t>
  </si>
  <si>
    <t>185/60 R15 UX TOURING</t>
  </si>
  <si>
    <t>1325219316087HUTR0</t>
  </si>
  <si>
    <t>1956 UXT</t>
  </si>
  <si>
    <t>195/55 R16 UX TOURING</t>
  </si>
  <si>
    <t>1325226518114HRHP0</t>
  </si>
  <si>
    <t>2658 RAN HTP</t>
  </si>
  <si>
    <t>265/65 R18 RANGER HT</t>
  </si>
  <si>
    <t>1D25115Z12008RXC10</t>
  </si>
  <si>
    <t>1502 XPC1</t>
  </si>
  <si>
    <t>155 R12 ULTIMA XPC1 TT</t>
  </si>
  <si>
    <t>1325221416095VRHE1</t>
  </si>
  <si>
    <t>2166 RAN HPE</t>
  </si>
  <si>
    <t>215/60 R16 RANGER HPE</t>
  </si>
  <si>
    <t>1325217613082TUNE1</t>
  </si>
  <si>
    <t>1713 NEO EXP</t>
  </si>
  <si>
    <t>175/70 R13 ULTIMA NEO (Export)</t>
  </si>
  <si>
    <t>1325226517112HRPG0</t>
  </si>
  <si>
    <t>GT 2667 RAN HT PG</t>
  </si>
  <si>
    <t>265/65 R17 RANGER HT PUNCTURE GUARD 112 H</t>
  </si>
  <si>
    <t>1325221318095HRHP0</t>
  </si>
  <si>
    <t>2158 RAN HT</t>
  </si>
  <si>
    <t>215/55 R18 Ranger HT 95H</t>
  </si>
  <si>
    <t>1325226517112TRXT0</t>
  </si>
  <si>
    <t>2657 RAN XATW</t>
  </si>
  <si>
    <t>265/65 R 17 Ranger XATW</t>
  </si>
  <si>
    <t>1325219416089VBHE0</t>
  </si>
  <si>
    <t>1956 BLA HPE</t>
  </si>
  <si>
    <t>195/60 R16 BLAZZE HPE 89 V</t>
  </si>
  <si>
    <t>1325220516095HURL4</t>
  </si>
  <si>
    <t>2116 ROYL HYU</t>
  </si>
  <si>
    <t>205/65 R16 UX-ROYALE</t>
  </si>
  <si>
    <t>1325221317094VURL1</t>
  </si>
  <si>
    <t>2047 ROYL HYU</t>
  </si>
  <si>
    <t>215/55 R17 UX ROYALE HYUNDAI</t>
  </si>
  <si>
    <t>1325216814085TURL2</t>
  </si>
  <si>
    <t>1684 ROYL</t>
  </si>
  <si>
    <t>165/80 R 14 UX ROYALE</t>
  </si>
  <si>
    <t>1325224716111SRHB0</t>
  </si>
  <si>
    <t>2476 RAN HT2</t>
  </si>
  <si>
    <t>245/75 R16 RANGER HT2</t>
  </si>
  <si>
    <t>1325225419109HRAT0</t>
  </si>
  <si>
    <t>2569 RAN AT</t>
  </si>
  <si>
    <t>255/60 R19 RANGER AT 109 H</t>
  </si>
  <si>
    <t>1325214812074TTMX0</t>
  </si>
  <si>
    <t>1422 MAX</t>
  </si>
  <si>
    <t>145/80 R12 TAXIMAX</t>
  </si>
  <si>
    <t>1325214612069TUHL0</t>
  </si>
  <si>
    <t>1442 UHL</t>
  </si>
  <si>
    <t>145/70 R12 ULTIMA HI LIFE</t>
  </si>
  <si>
    <t>1D25216814008QXPCA</t>
  </si>
  <si>
    <t>1614 XPC AL</t>
  </si>
  <si>
    <t>165 R14 ULTIMA XPC TL AL</t>
  </si>
  <si>
    <t>1325216814085STMX0</t>
  </si>
  <si>
    <t>1684 MAX</t>
  </si>
  <si>
    <t>165/80 R 14 TAXIMAX</t>
  </si>
  <si>
    <t>1325217415081HUTR0</t>
  </si>
  <si>
    <t>1715 UXT</t>
  </si>
  <si>
    <t>175/60R15_UX TOURING_81H TL</t>
  </si>
  <si>
    <t>1325217613082TUNEE</t>
  </si>
  <si>
    <t>1773 NEOPS</t>
  </si>
  <si>
    <t>175/70 R13 TORNEL ULTIMA NEO+</t>
  </si>
  <si>
    <t>1425118916008QRBT0</t>
  </si>
  <si>
    <t>1225219015008SXC1N</t>
  </si>
  <si>
    <t>1935 XPC1</t>
  </si>
  <si>
    <t>195 R15 ultima XPC1</t>
  </si>
  <si>
    <t>1325219316087VURP0</t>
  </si>
  <si>
    <t>1946 ROYL</t>
  </si>
  <si>
    <t>195/55 R16 UX ROYALE Puncture Guard</t>
  </si>
  <si>
    <t>1325221417096HRHE1</t>
  </si>
  <si>
    <t>2067 RAN HPE</t>
  </si>
  <si>
    <t>215/60R17 RANGER HPE TML</t>
  </si>
  <si>
    <t>1325220516095HUTP0</t>
  </si>
  <si>
    <t>2096 UXT PG</t>
  </si>
  <si>
    <t>205/65 R16 UX TOURING PUNCTURE GUARD 95 H</t>
  </si>
  <si>
    <t>1325220516095HURL2</t>
  </si>
  <si>
    <t>2136 ROYL KIA</t>
  </si>
  <si>
    <t>205/65 R16 UX ROYALE KIA</t>
  </si>
  <si>
    <t>1325221317094VRHE0</t>
  </si>
  <si>
    <t>215/55 R17 RANGER HPE</t>
  </si>
  <si>
    <t>1325221317094VUGR0</t>
  </si>
  <si>
    <t>2757 UXGR</t>
  </si>
  <si>
    <t>215/55 R17 UX GREEN 94 V</t>
  </si>
  <si>
    <t>1325221416095HURL2</t>
  </si>
  <si>
    <t>2166 ROYL KIA</t>
  </si>
  <si>
    <t>215/60 R16 UX ROYALE 95 H</t>
  </si>
  <si>
    <t>1325222416098HRHP0</t>
  </si>
  <si>
    <t>2216 RAN HT</t>
  </si>
  <si>
    <t>225/60 R16 RANGER HT 98 H</t>
  </si>
  <si>
    <t>1325222418100HRHE0</t>
  </si>
  <si>
    <t>2268 RAN HPE</t>
  </si>
  <si>
    <t>225/60 R 18 Ranger HPE</t>
  </si>
  <si>
    <t>1325221715100SBRU0</t>
  </si>
  <si>
    <t>2355 BRU</t>
  </si>
  <si>
    <t>215/75 R15 BRUTE TL</t>
  </si>
  <si>
    <t>1325223616105TRXT0</t>
  </si>
  <si>
    <t>2376 RAN XAT</t>
  </si>
  <si>
    <t>235/70 R 16 RANGER X-AT 105T</t>
  </si>
  <si>
    <t>1325224517107VRHM0</t>
  </si>
  <si>
    <t>2467 RAN HP</t>
  </si>
  <si>
    <t>245/65R17 RANGER HP</t>
  </si>
  <si>
    <t>1325224418105VRHM0</t>
  </si>
  <si>
    <t>2468 RAN HP</t>
  </si>
  <si>
    <t>245/60 R18 RANGER HP 105 V</t>
  </si>
  <si>
    <t>1325225518111HRHE0</t>
  </si>
  <si>
    <t>2458 RAN HPE</t>
  </si>
  <si>
    <t>255/65 R18 RANGER HPE</t>
  </si>
  <si>
    <t>1325224319103HRHM0</t>
  </si>
  <si>
    <t>2459 RAN HP</t>
  </si>
  <si>
    <t>245/55 R19 RANGER HP</t>
  </si>
  <si>
    <t>1325223319105VRHM0</t>
  </si>
  <si>
    <t>2359 RAN HP</t>
  </si>
  <si>
    <t>235/55 R19 RANGER HP</t>
  </si>
  <si>
    <t>1325220516095HURL0</t>
  </si>
  <si>
    <t>2516 ROYLD1</t>
  </si>
  <si>
    <t>205/65 R16 UX ROYALE</t>
  </si>
  <si>
    <t>1325225C20101WLEV0</t>
  </si>
  <si>
    <t>2520 LEVI</t>
  </si>
  <si>
    <t>255/40 R 20 LEVITAS ULTRA</t>
  </si>
  <si>
    <t>1325225119104WLEV0</t>
  </si>
  <si>
    <t>2549 LEVI</t>
  </si>
  <si>
    <t>255/45 R 19 Levitas Ultra</t>
  </si>
  <si>
    <t>1325220515094VTMX0</t>
  </si>
  <si>
    <t>2555 MAX</t>
  </si>
  <si>
    <t>205/65 R15 TAXIMAX</t>
  </si>
  <si>
    <t>1325226617121LRMTZ</t>
  </si>
  <si>
    <t>2617 RAN MT</t>
  </si>
  <si>
    <t>265/70 R17 RANGER MT Defense</t>
  </si>
  <si>
    <t>1325121715100SRBT0</t>
  </si>
  <si>
    <t>2755 RAN BRT</t>
  </si>
  <si>
    <t>215/75 R15 RANGER BRT</t>
  </si>
  <si>
    <t>1325217515084HURL5</t>
  </si>
  <si>
    <t>SUS 1765 ROYL</t>
  </si>
  <si>
    <t>175/65R15_UX ROYALE_84H_TL_SUST TYRE</t>
  </si>
  <si>
    <t>1325221416095HURL3</t>
  </si>
  <si>
    <t>SUS 2156 ROYL</t>
  </si>
  <si>
    <t>215/60 R 16 UX ROYALE 95H TL</t>
  </si>
  <si>
    <t>1325223418103HRHP0</t>
  </si>
  <si>
    <t>235/60R18_RANGER HT _103H TL</t>
  </si>
  <si>
    <t> </t>
  </si>
  <si>
    <t>1D25215013008SXC10</t>
  </si>
  <si>
    <t>155R13_ULTIMA XPC1_90/89S_TL_MSIL YG8</t>
  </si>
  <si>
    <t>1325224117099WLEVY</t>
  </si>
  <si>
    <t>245/45 R17_LEVITAS ULTRA_99W  TL</t>
  </si>
  <si>
    <t>Some Sizes are not added as the sizes are not currently running in CTP( Gt Codes Shared).</t>
  </si>
  <si>
    <t>GT 1816 RAN BRT,GT 2755 RAN BRT,GT 1684 TOR MARUTHI,GT 1885 BRU,GT 1422 MAX</t>
  </si>
  <si>
    <t>1325219316087VURL0</t>
  </si>
  <si>
    <t>obsolete</t>
  </si>
  <si>
    <t>1325219316087HVEC1</t>
  </si>
  <si>
    <t>195/55R16 VECTRA REP</t>
  </si>
  <si>
    <t>265/70R17 RANGER MT</t>
  </si>
  <si>
    <t>2516 ROYL</t>
  </si>
  <si>
    <t>205/65 R16 UX ROYALE - Dom/Exp</t>
  </si>
  <si>
    <t>2158 ROYL EXP</t>
  </si>
  <si>
    <t>215/55 R18 UX ROYALE Export</t>
  </si>
  <si>
    <t>2158 ROYL HYU</t>
  </si>
  <si>
    <t>195/65 R16 RANGER HPE</t>
  </si>
  <si>
    <t>1936 ROYL EXP</t>
  </si>
  <si>
    <t>195/55 R16 UX ROYALE EXPORT</t>
  </si>
  <si>
    <t>1956 VEC</t>
  </si>
  <si>
    <t>FG COE</t>
  </si>
  <si>
    <t>1325219316087HVEC0</t>
  </si>
  <si>
    <t>2667 RAN HT PG</t>
  </si>
  <si>
    <t>Size Not Running in CTP</t>
  </si>
  <si>
    <t>G CODE</t>
  </si>
  <si>
    <t>3402, 3411</t>
  </si>
  <si>
    <t xml:space="preserve">Note: Any Size coming after long time ( More than 90 Days ) to be considered as a First Run and &lt;=100 nos to be planned as T/F with intimation to TECH TEAM            </t>
  </si>
  <si>
    <t>Builidng Machine Size Release Matrix - OE SKUs</t>
  </si>
  <si>
    <t>Building Machine</t>
  </si>
  <si>
    <t>Components Construction</t>
  </si>
  <si>
    <t>Builidng Machine Remarks</t>
  </si>
  <si>
    <t>PLY-1</t>
  </si>
  <si>
    <t>PLY-2</t>
  </si>
  <si>
    <t>Capstrip</t>
  </si>
  <si>
    <t>Flipper</t>
  </si>
  <si>
    <t>Components Remarks</t>
  </si>
  <si>
    <t>Don’t Plan in Conti - Bead set speed high and Flipper Bead Causing Ply fold issue</t>
  </si>
  <si>
    <t>When Size change from Conti to BJ First Run  &lt;= 100 Nos to be planned</t>
  </si>
  <si>
    <t>1965 ROYL</t>
  </si>
  <si>
    <t>TBM 3 MC constrain to be planned only with mech confirmation</t>
  </si>
  <si>
    <t>M8 3rd Preference - Conditinally accepted on Conti Type shaping Head</t>
  </si>
  <si>
    <t xml:space="preserve">215/65R17 UX ROYALE </t>
  </si>
  <si>
    <t>1st Preference to M11</t>
  </si>
  <si>
    <t>225/55 R 18 Ranger HPE</t>
  </si>
  <si>
    <t>M9 With conti type Shaping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</si>
</sst>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Wingdings 2"/>
      <family val="1"/>
      <charset val="2"/>
    </font>
    <font>
      <sz val="12"/>
      <name val="Wingdings 2"/>
      <family val="1"/>
      <charset val="2"/>
    </font>
    <font>
      <sz val="12"/>
      <name val="Cambria"/>
      <family val="1"/>
    </font>
    <font>
      <b/>
      <sz val="10"/>
      <color theme="1"/>
      <name val="Arial"/>
      <family val="2"/>
    </font>
    <font>
      <sz val="12"/>
      <color indexed="8"/>
      <name val="Cambria"/>
      <family val="1"/>
    </font>
    <font>
      <sz val="8"/>
      <name val="Calibri"/>
      <family val="2"/>
      <scheme val="minor"/>
    </font>
    <font>
      <sz val="11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2"/>
      <color theme="1"/>
      <name val="Times New Roman"/>
      <family val="2"/>
    </font>
    <font>
      <sz val="11"/>
      <color rgb="FF000000"/>
      <name val="Calibri"/>
      <family val="2"/>
    </font>
    <font>
      <sz val="11"/>
      <color rgb="FF000000"/>
      <name val="Inherit"/>
    </font>
    <font>
      <sz val="11"/>
      <name val="Aptos Narrow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ourier New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Inherit"/>
      <charset val="1"/>
    </font>
    <font>
      <sz val="12"/>
      <color rgb="FF000000"/>
      <name val="Aptos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Wingdings 2"/>
      <family val="1"/>
      <charset val="2"/>
    </font>
    <font>
      <sz val="11"/>
      <name val="Calibri"/>
      <family val="2"/>
    </font>
    <font>
      <sz val="12"/>
      <color theme="1"/>
      <name val="Aptos"/>
      <family val="2"/>
      <charset val="1"/>
    </font>
    <font>
      <sz val="12"/>
      <color rgb="FF242424"/>
      <name val="Aptos"/>
      <family val="2"/>
      <charset val="1"/>
    </font>
    <font>
      <sz val="10"/>
      <color theme="1"/>
      <name val="Calibri"/>
      <scheme val="minor"/>
    </font>
    <font>
      <sz val="11"/>
      <name val="Calibri"/>
      <scheme val="minor"/>
    </font>
    <font>
      <sz val="10"/>
      <name val="Calibri"/>
      <scheme val="minor"/>
    </font>
    <font>
      <sz val="12"/>
      <name val="Calibri"/>
      <scheme val="minor"/>
    </font>
    <font>
      <sz val="12"/>
      <color theme="1"/>
      <name val="Calibri"/>
      <scheme val="minor"/>
    </font>
    <font>
      <sz val="10"/>
      <color rgb="FF000000"/>
      <name val="Calibri"/>
      <scheme val="minor"/>
    </font>
    <font>
      <sz val="11"/>
      <color rgb="FF000000"/>
      <name val="Calibri"/>
      <scheme val="minor"/>
    </font>
    <font>
      <sz val="12"/>
      <color rgb="FF000000"/>
      <name val="Aptos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5" fillId="0" borderId="0"/>
  </cellStyleXfs>
  <cellXfs count="92">
    <xf numFmtId="0" fontId="0" fillId="0" borderId="0" xfId="0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16" fillId="0" borderId="5" xfId="0" applyFont="1" applyBorder="1"/>
    <xf numFmtId="0" fontId="21" fillId="0" borderId="0" xfId="0" applyFont="1"/>
    <xf numFmtId="0" fontId="26" fillId="4" borderId="11" xfId="0" applyFont="1" applyFill="1" applyBorder="1" applyAlignment="1">
      <alignment wrapText="1"/>
    </xf>
    <xf numFmtId="0" fontId="0" fillId="0" borderId="11" xfId="0" applyBorder="1"/>
    <xf numFmtId="0" fontId="22" fillId="4" borderId="11" xfId="0" applyFont="1" applyFill="1" applyBorder="1" applyAlignment="1">
      <alignment wrapText="1"/>
    </xf>
    <xf numFmtId="0" fontId="23" fillId="4" borderId="11" xfId="0" applyFont="1" applyFill="1" applyBorder="1" applyAlignment="1">
      <alignment wrapText="1"/>
    </xf>
    <xf numFmtId="0" fontId="24" fillId="4" borderId="11" xfId="0" applyFont="1" applyFill="1" applyBorder="1" applyAlignment="1">
      <alignment wrapText="1"/>
    </xf>
    <xf numFmtId="0" fontId="0" fillId="4" borderId="11" xfId="0" applyFill="1" applyBorder="1"/>
    <xf numFmtId="0" fontId="25" fillId="4" borderId="11" xfId="0" applyFont="1" applyFill="1" applyBorder="1" applyAlignment="1">
      <alignment wrapText="1"/>
    </xf>
    <xf numFmtId="0" fontId="6" fillId="5" borderId="5" xfId="0" applyFont="1" applyFill="1" applyBorder="1"/>
    <xf numFmtId="0" fontId="16" fillId="5" borderId="11" xfId="0" applyFont="1" applyFill="1" applyBorder="1"/>
    <xf numFmtId="0" fontId="16" fillId="5" borderId="12" xfId="0" applyFont="1" applyFill="1" applyBorder="1"/>
    <xf numFmtId="0" fontId="19" fillId="5" borderId="13" xfId="0" applyFont="1" applyFill="1" applyBorder="1"/>
    <xf numFmtId="0" fontId="20" fillId="5" borderId="14" xfId="0" applyFont="1" applyFill="1" applyBorder="1"/>
    <xf numFmtId="0" fontId="16" fillId="5" borderId="14" xfId="0" applyFont="1" applyFill="1" applyBorder="1"/>
    <xf numFmtId="0" fontId="27" fillId="5" borderId="14" xfId="0" applyFont="1" applyFill="1" applyBorder="1"/>
    <xf numFmtId="0" fontId="20" fillId="5" borderId="13" xfId="0" applyFont="1" applyFill="1" applyBorder="1"/>
    <xf numFmtId="0" fontId="6" fillId="5" borderId="14" xfId="0" applyFont="1" applyFill="1" applyBorder="1"/>
    <xf numFmtId="0" fontId="28" fillId="5" borderId="14" xfId="0" applyFont="1" applyFill="1" applyBorder="1"/>
    <xf numFmtId="0" fontId="18" fillId="5" borderId="13" xfId="0" applyFont="1" applyFill="1" applyBorder="1"/>
    <xf numFmtId="0" fontId="16" fillId="0" borderId="14" xfId="0" applyFont="1" applyBorder="1"/>
    <xf numFmtId="0" fontId="16" fillId="5" borderId="14" xfId="0" applyFont="1" applyFill="1" applyBorder="1" applyAlignment="1">
      <alignment wrapText="1"/>
    </xf>
    <xf numFmtId="0" fontId="17" fillId="5" borderId="14" xfId="0" applyFont="1" applyFill="1" applyBorder="1" applyAlignment="1">
      <alignment wrapText="1"/>
    </xf>
    <xf numFmtId="0" fontId="20" fillId="6" borderId="14" xfId="0" applyFont="1" applyFill="1" applyBorder="1"/>
    <xf numFmtId="0" fontId="19" fillId="6" borderId="14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left"/>
    </xf>
    <xf numFmtId="0" fontId="25" fillId="4" borderId="15" xfId="0" applyFont="1" applyFill="1" applyBorder="1" applyAlignment="1">
      <alignment wrapText="1"/>
    </xf>
    <xf numFmtId="0" fontId="29" fillId="4" borderId="16" xfId="0" applyFont="1" applyFill="1" applyBorder="1" applyAlignment="1">
      <alignment wrapText="1"/>
    </xf>
    <xf numFmtId="0" fontId="29" fillId="4" borderId="17" xfId="0" applyFont="1" applyFill="1" applyBorder="1" applyAlignment="1">
      <alignment wrapText="1"/>
    </xf>
    <xf numFmtId="0" fontId="29" fillId="4" borderId="18" xfId="0" applyFont="1" applyFill="1" applyBorder="1" applyAlignment="1">
      <alignment wrapText="1"/>
    </xf>
    <xf numFmtId="0" fontId="30" fillId="4" borderId="0" xfId="0" applyFont="1" applyFill="1" applyAlignment="1">
      <alignment wrapText="1"/>
    </xf>
    <xf numFmtId="0" fontId="29" fillId="4" borderId="15" xfId="0" applyFont="1" applyFill="1" applyBorder="1" applyAlignment="1">
      <alignment wrapText="1"/>
    </xf>
    <xf numFmtId="0" fontId="29" fillId="0" borderId="17" xfId="0" applyFont="1" applyBorder="1" applyAlignment="1">
      <alignment wrapText="1"/>
    </xf>
    <xf numFmtId="0" fontId="29" fillId="0" borderId="18" xfId="0" applyFont="1" applyBorder="1" applyAlignment="1">
      <alignment wrapText="1"/>
    </xf>
    <xf numFmtId="0" fontId="29" fillId="0" borderId="19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1" fillId="2" borderId="11" xfId="0" applyFont="1" applyFill="1" applyBorder="1" applyAlignment="1">
      <alignment horizontal="left"/>
    </xf>
    <xf numFmtId="0" fontId="31" fillId="2" borderId="11" xfId="0" applyFont="1" applyFill="1" applyBorder="1" applyAlignment="1">
      <alignment horizontal="left"/>
    </xf>
    <xf numFmtId="0" fontId="32" fillId="2" borderId="11" xfId="0" applyFont="1" applyFill="1" applyBorder="1" applyAlignment="1">
      <alignment horizontal="left"/>
    </xf>
    <xf numFmtId="0" fontId="33" fillId="2" borderId="11" xfId="0" applyFont="1" applyFill="1" applyBorder="1" applyAlignment="1">
      <alignment horizontal="left"/>
    </xf>
    <xf numFmtId="164" fontId="34" fillId="2" borderId="11" xfId="0" applyNumberFormat="1" applyFont="1" applyFill="1" applyBorder="1" applyAlignment="1">
      <alignment horizontal="left"/>
    </xf>
    <xf numFmtId="0" fontId="35" fillId="0" borderId="11" xfId="0" applyFont="1" applyBorder="1" applyAlignment="1">
      <alignment horizontal="left" vertical="top"/>
    </xf>
    <xf numFmtId="0" fontId="32" fillId="2" borderId="11" xfId="1" applyFont="1" applyFill="1" applyBorder="1" applyAlignment="1">
      <alignment horizontal="left" vertical="top"/>
    </xf>
    <xf numFmtId="0" fontId="1" fillId="0" borderId="11" xfId="0" applyFont="1" applyBorder="1" applyAlignment="1">
      <alignment horizontal="left"/>
    </xf>
    <xf numFmtId="0" fontId="1" fillId="2" borderId="11" xfId="0" applyFont="1" applyFill="1" applyBorder="1" applyAlignment="1">
      <alignment horizontal="left" vertical="top"/>
    </xf>
    <xf numFmtId="0" fontId="32" fillId="2" borderId="11" xfId="0" applyFont="1" applyFill="1" applyBorder="1" applyAlignment="1">
      <alignment horizontal="left" vertical="top"/>
    </xf>
    <xf numFmtId="0" fontId="36" fillId="4" borderId="11" xfId="0" applyFont="1" applyFill="1" applyBorder="1" applyAlignment="1">
      <alignment horizontal="left" vertical="top" wrapText="1"/>
    </xf>
    <xf numFmtId="0" fontId="31" fillId="2" borderId="11" xfId="0" applyFont="1" applyFill="1" applyBorder="1" applyAlignment="1">
      <alignment horizontal="left" vertical="top"/>
    </xf>
    <xf numFmtId="0" fontId="37" fillId="4" borderId="11" xfId="0" applyFont="1" applyFill="1" applyBorder="1" applyAlignment="1">
      <alignment horizontal="left" vertical="top" wrapText="1"/>
    </xf>
    <xf numFmtId="0" fontId="32" fillId="5" borderId="11" xfId="0" applyFont="1" applyFill="1" applyBorder="1" applyAlignment="1">
      <alignment horizontal="left" vertical="top"/>
    </xf>
    <xf numFmtId="0" fontId="1" fillId="0" borderId="11" xfId="0" applyFont="1" applyBorder="1" applyAlignment="1">
      <alignment horizontal="left" vertical="center"/>
    </xf>
    <xf numFmtId="0" fontId="1" fillId="2" borderId="11" xfId="0" applyFont="1" applyFill="1" applyBorder="1" applyAlignment="1">
      <alignment vertical="center" wrapText="1"/>
    </xf>
    <xf numFmtId="0" fontId="37" fillId="0" borderId="11" xfId="0" applyFont="1" applyBorder="1"/>
    <xf numFmtId="0" fontId="37" fillId="5" borderId="11" xfId="0" applyFont="1" applyFill="1" applyBorder="1" applyAlignment="1">
      <alignment horizontal="left" vertical="top" wrapText="1"/>
    </xf>
    <xf numFmtId="0" fontId="37" fillId="0" borderId="1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19" fillId="7" borderId="14" xfId="0" applyFont="1" applyFill="1" applyBorder="1"/>
    <xf numFmtId="0" fontId="20" fillId="7" borderId="14" xfId="0" applyFont="1" applyFill="1" applyBorder="1" applyAlignment="1">
      <alignment wrapText="1"/>
    </xf>
    <xf numFmtId="0" fontId="21" fillId="7" borderId="0" xfId="0" applyFont="1" applyFill="1"/>
    <xf numFmtId="0" fontId="38" fillId="4" borderId="0" xfId="0" applyFont="1" applyFill="1" applyAlignment="1">
      <alignment wrapText="1"/>
    </xf>
    <xf numFmtId="0" fontId="38" fillId="4" borderId="11" xfId="0" applyFont="1" applyFill="1" applyBorder="1" applyAlignment="1">
      <alignment wrapText="1"/>
    </xf>
    <xf numFmtId="0" fontId="0" fillId="0" borderId="12" xfId="0" applyBorder="1"/>
    <xf numFmtId="0" fontId="0" fillId="0" borderId="20" xfId="0" applyBorder="1"/>
    <xf numFmtId="0" fontId="0" fillId="0" borderId="13" xfId="0" applyBorder="1"/>
  </cellXfs>
  <cellStyles count="2">
    <cellStyle name="Normal" xfId="0" builtinId="0"/>
    <cellStyle name="Normal 4" xfId="1" xr:uid="{592433E4-08B0-4E53-8728-FD54990D87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31C2E-4AE8-EF67-891E-887FB9E26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D6ED33-8CF2-31BC-C725-E5EBD0C666AA}"/>
            </a:ext>
            <a:ext uri="{147F2762-F138-4A5C-976F-8EAC2B608ADB}">
              <a16:predDERef xmlns:a16="http://schemas.microsoft.com/office/drawing/2014/main" pred="{E9C31C2E-4AE8-EF67-891E-887FB9E26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8E3D4B-90A4-1E61-EA50-6874E7CDD406}"/>
            </a:ext>
            <a:ext uri="{147F2762-F138-4A5C-976F-8EAC2B608ADB}">
              <a16:predDERef xmlns:a16="http://schemas.microsoft.com/office/drawing/2014/main" pred="{C9D6ED33-8CF2-31BC-C725-E5EBD0C66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12A643-23A1-1097-6544-1BFF8AC39860}"/>
            </a:ext>
            <a:ext uri="{147F2762-F138-4A5C-976F-8EAC2B608ADB}">
              <a16:predDERef xmlns:a16="http://schemas.microsoft.com/office/drawing/2014/main" pred="{308E3D4B-90A4-1E61-EA50-6874E7CD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8516EC-5C5A-280C-63A2-9E4FA2EEE0BE}"/>
            </a:ext>
            <a:ext uri="{147F2762-F138-4A5C-976F-8EAC2B608ADB}">
              <a16:predDERef xmlns:a16="http://schemas.microsoft.com/office/drawing/2014/main" pred="{9E12A643-23A1-1097-6544-1BFF8AC3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DA07E0-8AD2-AE76-897C-6B65A9864264}"/>
            </a:ext>
            <a:ext uri="{147F2762-F138-4A5C-976F-8EAC2B608ADB}">
              <a16:predDERef xmlns:a16="http://schemas.microsoft.com/office/drawing/2014/main" pred="{9A8516EC-5C5A-280C-63A2-9E4FA2EEE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3FBFAC-2E2E-8D92-2FB5-EBE68FBB2169}"/>
            </a:ext>
            <a:ext uri="{147F2762-F138-4A5C-976F-8EAC2B608ADB}">
              <a16:predDERef xmlns:a16="http://schemas.microsoft.com/office/drawing/2014/main" pred="{04DA07E0-8AD2-AE76-897C-6B65A9864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CDA2F3-F0B5-E460-7ED7-FD0DBAF16BBC}"/>
            </a:ext>
            <a:ext uri="{147F2762-F138-4A5C-976F-8EAC2B608ADB}">
              <a16:predDERef xmlns:a16="http://schemas.microsoft.com/office/drawing/2014/main" pred="{B93FBFAC-2E2E-8D92-2FB5-EBE68FBB2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7D225E-6313-9924-512B-2DECCF4E2A75}"/>
            </a:ext>
            <a:ext uri="{147F2762-F138-4A5C-976F-8EAC2B608ADB}">
              <a16:predDERef xmlns:a16="http://schemas.microsoft.com/office/drawing/2014/main" pred="{65CDA2F3-F0B5-E460-7ED7-FD0DBAF16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6387C7-EC30-A9D9-6BFD-1C375267C010}"/>
            </a:ext>
            <a:ext uri="{147F2762-F138-4A5C-976F-8EAC2B608ADB}">
              <a16:predDERef xmlns:a16="http://schemas.microsoft.com/office/drawing/2014/main" pred="{757D225E-6313-9924-512B-2DECCF4E2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2E11FF-5212-CD22-5B43-37AD3B6B9EC4}"/>
            </a:ext>
            <a:ext uri="{147F2762-F138-4A5C-976F-8EAC2B608ADB}">
              <a16:predDERef xmlns:a16="http://schemas.microsoft.com/office/drawing/2014/main" pred="{D86387C7-EC30-A9D9-6BFD-1C375267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3AA1A52-59D6-961A-4469-2F60D00410FA}"/>
            </a:ext>
            <a:ext uri="{147F2762-F138-4A5C-976F-8EAC2B608ADB}">
              <a16:predDERef xmlns:a16="http://schemas.microsoft.com/office/drawing/2014/main" pred="{812E11FF-5212-CD22-5B43-37AD3B6B9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07B73A8-EA67-480D-DC05-9E6D1FB23E1F}"/>
            </a:ext>
            <a:ext uri="{147F2762-F138-4A5C-976F-8EAC2B608ADB}">
              <a16:predDERef xmlns:a16="http://schemas.microsoft.com/office/drawing/2014/main" pred="{63AA1A52-59D6-961A-4469-2F60D0041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5FD34B-B84F-4822-4D7A-654DA8927F60}"/>
            </a:ext>
            <a:ext uri="{147F2762-F138-4A5C-976F-8EAC2B608ADB}">
              <a16:predDERef xmlns:a16="http://schemas.microsoft.com/office/drawing/2014/main" pred="{407B73A8-EA67-480D-DC05-9E6D1FB23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54995FB-B942-3917-5B99-3A59058DAB20}"/>
            </a:ext>
            <a:ext uri="{147F2762-F138-4A5C-976F-8EAC2B608ADB}">
              <a16:predDERef xmlns:a16="http://schemas.microsoft.com/office/drawing/2014/main" pred="{CA5FD34B-B84F-4822-4D7A-654DA892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8090F7-A71B-FCF8-9C3B-3188087223BD}"/>
            </a:ext>
            <a:ext uri="{147F2762-F138-4A5C-976F-8EAC2B608ADB}">
              <a16:predDERef xmlns:a16="http://schemas.microsoft.com/office/drawing/2014/main" pred="{C54995FB-B942-3917-5B99-3A59058D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7408751-59D7-2692-70BE-5263FBEBD2CC}"/>
            </a:ext>
            <a:ext uri="{147F2762-F138-4A5C-976F-8EAC2B608ADB}">
              <a16:predDERef xmlns:a16="http://schemas.microsoft.com/office/drawing/2014/main" pred="{138090F7-A71B-FCF8-9C3B-31880872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3A4FAE-FB53-A59A-63B9-80549535A3DC}"/>
            </a:ext>
            <a:ext uri="{147F2762-F138-4A5C-976F-8EAC2B608ADB}">
              <a16:predDERef xmlns:a16="http://schemas.microsoft.com/office/drawing/2014/main" pred="{77408751-59D7-2692-70BE-5263FBEBD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549556D-F1EB-A570-7E7B-3427FF1C7007}"/>
            </a:ext>
            <a:ext uri="{147F2762-F138-4A5C-976F-8EAC2B608ADB}">
              <a16:predDERef xmlns:a16="http://schemas.microsoft.com/office/drawing/2014/main" pred="{4B3A4FAE-FB53-A59A-63B9-80549535A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E6B9116-7547-8DDA-2113-774106E84D87}"/>
            </a:ext>
            <a:ext uri="{147F2762-F138-4A5C-976F-8EAC2B608ADB}">
              <a16:predDERef xmlns:a16="http://schemas.microsoft.com/office/drawing/2014/main" pred="{D549556D-F1EB-A570-7E7B-3427FF1C7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F829550-DC51-FB72-8F5D-E5E2420877B6}"/>
            </a:ext>
            <a:ext uri="{147F2762-F138-4A5C-976F-8EAC2B608ADB}">
              <a16:predDERef xmlns:a16="http://schemas.microsoft.com/office/drawing/2014/main" pred="{BE6B9116-7547-8DDA-2113-774106E8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CC955F3-ABF5-BD04-A20B-A6C8709BB8BC}"/>
            </a:ext>
            <a:ext uri="{147F2762-F138-4A5C-976F-8EAC2B608ADB}">
              <a16:predDERef xmlns:a16="http://schemas.microsoft.com/office/drawing/2014/main" pred="{AF829550-DC51-FB72-8F5D-E5E242087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AD19F21-E8A7-D835-3D72-26B0EB602FD8}"/>
            </a:ext>
            <a:ext uri="{147F2762-F138-4A5C-976F-8EAC2B608ADB}">
              <a16:predDERef xmlns:a16="http://schemas.microsoft.com/office/drawing/2014/main" pred="{ECC955F3-ABF5-BD04-A20B-A6C8709BB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2EFBD06-7988-278C-A1C5-A155BB6C2A8A}"/>
            </a:ext>
            <a:ext uri="{147F2762-F138-4A5C-976F-8EAC2B608ADB}">
              <a16:predDERef xmlns:a16="http://schemas.microsoft.com/office/drawing/2014/main" pred="{7AD19F21-E8A7-D835-3D72-26B0EB602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5FA6FB0-6B1A-C358-8730-6AF5D864010D}"/>
            </a:ext>
            <a:ext uri="{147F2762-F138-4A5C-976F-8EAC2B608ADB}">
              <a16:predDERef xmlns:a16="http://schemas.microsoft.com/office/drawing/2014/main" pred="{D2EFBD06-7988-278C-A1C5-A155BB6C2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94E212A-82E2-1126-44BF-759C82793149}"/>
            </a:ext>
            <a:ext uri="{147F2762-F138-4A5C-976F-8EAC2B608ADB}">
              <a16:predDERef xmlns:a16="http://schemas.microsoft.com/office/drawing/2014/main" pred="{65FA6FB0-6B1A-C358-8730-6AF5D864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342C7BE-72B4-EE1D-A039-29A374DB9FB5}"/>
            </a:ext>
            <a:ext uri="{147F2762-F138-4A5C-976F-8EAC2B608ADB}">
              <a16:predDERef xmlns:a16="http://schemas.microsoft.com/office/drawing/2014/main" pred="{D94E212A-82E2-1126-44BF-759C82793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F5D41F3-6BDC-FDD3-A277-A0946EC55132}"/>
            </a:ext>
            <a:ext uri="{147F2762-F138-4A5C-976F-8EAC2B608ADB}">
              <a16:predDERef xmlns:a16="http://schemas.microsoft.com/office/drawing/2014/main" pred="{C342C7BE-72B4-EE1D-A039-29A374DB9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4099078-760E-1287-98A3-461AF42EDC81}"/>
            </a:ext>
            <a:ext uri="{147F2762-F138-4A5C-976F-8EAC2B608ADB}">
              <a16:predDERef xmlns:a16="http://schemas.microsoft.com/office/drawing/2014/main" pred="{8F5D41F3-6BDC-FDD3-A277-A0946EC55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0F97CDD-9101-8092-88EF-8B825239731B}"/>
            </a:ext>
            <a:ext uri="{147F2762-F138-4A5C-976F-8EAC2B608ADB}">
              <a16:predDERef xmlns:a16="http://schemas.microsoft.com/office/drawing/2014/main" pred="{74099078-760E-1287-98A3-461AF42E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5B71882-6294-65BF-0142-C3A984D56BA5}"/>
            </a:ext>
            <a:ext uri="{147F2762-F138-4A5C-976F-8EAC2B608ADB}">
              <a16:predDERef xmlns:a16="http://schemas.microsoft.com/office/drawing/2014/main" pred="{A0F97CDD-9101-8092-88EF-8B8252397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F3CC8AF-9BEB-8F61-2CA1-A2DD9B3BA1C3}"/>
            </a:ext>
            <a:ext uri="{147F2762-F138-4A5C-976F-8EAC2B608ADB}">
              <a16:predDERef xmlns:a16="http://schemas.microsoft.com/office/drawing/2014/main" pred="{B5B71882-6294-65BF-0142-C3A984D5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E9A4BC7-5BDB-94D1-459E-E652CAB70ACE}"/>
            </a:ext>
            <a:ext uri="{147F2762-F138-4A5C-976F-8EAC2B608ADB}">
              <a16:predDERef xmlns:a16="http://schemas.microsoft.com/office/drawing/2014/main" pred="{7F3CC8AF-9BEB-8F61-2CA1-A2DD9B3BA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09DBF42-DC68-5D9A-734B-0B058FE318C5}"/>
            </a:ext>
            <a:ext uri="{147F2762-F138-4A5C-976F-8EAC2B608ADB}">
              <a16:predDERef xmlns:a16="http://schemas.microsoft.com/office/drawing/2014/main" pred="{9E9A4BC7-5BDB-94D1-459E-E652CAB70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040C5E7-E230-A779-02CC-7A55F376893E}"/>
            </a:ext>
            <a:ext uri="{147F2762-F138-4A5C-976F-8EAC2B608ADB}">
              <a16:predDERef xmlns:a16="http://schemas.microsoft.com/office/drawing/2014/main" pred="{509DBF42-DC68-5D9A-734B-0B058FE31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C8BED2C-45C5-CE3C-8D0B-206CADC92A0D}"/>
            </a:ext>
            <a:ext uri="{147F2762-F138-4A5C-976F-8EAC2B608ADB}">
              <a16:predDERef xmlns:a16="http://schemas.microsoft.com/office/drawing/2014/main" pred="{F040C5E7-E230-A779-02CC-7A55F376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0950189-C930-0279-FE3E-A17928EBE758}"/>
            </a:ext>
            <a:ext uri="{147F2762-F138-4A5C-976F-8EAC2B608ADB}">
              <a16:predDERef xmlns:a16="http://schemas.microsoft.com/office/drawing/2014/main" pred="{BC8BED2C-45C5-CE3C-8D0B-206CADC92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F2189D7-2A29-CE35-6E7D-C3B2DE7E5BB9}"/>
            </a:ext>
            <a:ext uri="{147F2762-F138-4A5C-976F-8EAC2B608ADB}">
              <a16:predDERef xmlns:a16="http://schemas.microsoft.com/office/drawing/2014/main" pred="{40950189-C930-0279-FE3E-A17928EBE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00AA7AA-A016-FFC3-E03E-3812B9D84B76}"/>
            </a:ext>
            <a:ext uri="{147F2762-F138-4A5C-976F-8EAC2B608ADB}">
              <a16:predDERef xmlns:a16="http://schemas.microsoft.com/office/drawing/2014/main" pred="{4F2189D7-2A29-CE35-6E7D-C3B2DE7E5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3D1BD-9163-24DB-9E6B-AFE7D353F66C}"/>
            </a:ext>
            <a:ext uri="{147F2762-F138-4A5C-976F-8EAC2B608ADB}">
              <a16:predDERef xmlns:a16="http://schemas.microsoft.com/office/drawing/2014/main" pred="{200AA7AA-A016-FFC3-E03E-3812B9D8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3B6E328-2E56-A42C-CAEC-EA5535B16BB5}"/>
            </a:ext>
            <a:ext uri="{147F2762-F138-4A5C-976F-8EAC2B608ADB}">
              <a16:predDERef xmlns:a16="http://schemas.microsoft.com/office/drawing/2014/main" pred="{3453D1BD-9163-24DB-9E6B-AFE7D353F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5AB6A3D-9EDC-A989-557D-5C87AD48BED5}"/>
            </a:ext>
            <a:ext uri="{147F2762-F138-4A5C-976F-8EAC2B608ADB}">
              <a16:predDERef xmlns:a16="http://schemas.microsoft.com/office/drawing/2014/main" pred="{53B6E328-2E56-A42C-CAEC-EA5535B1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B39F719-0985-51A6-4085-D9E50625E23C}"/>
            </a:ext>
            <a:ext uri="{147F2762-F138-4A5C-976F-8EAC2B608ADB}">
              <a16:predDERef xmlns:a16="http://schemas.microsoft.com/office/drawing/2014/main" pred="{C5AB6A3D-9EDC-A989-557D-5C87AD48B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9CFAFE1-C138-76DE-B521-51F939DF1775}"/>
            </a:ext>
            <a:ext uri="{147F2762-F138-4A5C-976F-8EAC2B608ADB}">
              <a16:predDERef xmlns:a16="http://schemas.microsoft.com/office/drawing/2014/main" pred="{EB39F719-0985-51A6-4085-D9E50625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BE87713-7988-3471-DB48-C809F7F6A2B0}"/>
            </a:ext>
            <a:ext uri="{147F2762-F138-4A5C-976F-8EAC2B608ADB}">
              <a16:predDERef xmlns:a16="http://schemas.microsoft.com/office/drawing/2014/main" pred="{E9CFAFE1-C138-76DE-B521-51F939DF1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9E9D8AE-FB15-36A9-C078-ABA4796AA9CD}"/>
            </a:ext>
            <a:ext uri="{147F2762-F138-4A5C-976F-8EAC2B608ADB}">
              <a16:predDERef xmlns:a16="http://schemas.microsoft.com/office/drawing/2014/main" pred="{EBE87713-7988-3471-DB48-C809F7F6A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19DC80C-79F3-AD0C-725E-C79B15588CB3}"/>
            </a:ext>
            <a:ext uri="{147F2762-F138-4A5C-976F-8EAC2B608ADB}">
              <a16:predDERef xmlns:a16="http://schemas.microsoft.com/office/drawing/2014/main" pred="{F9E9D8AE-FB15-36A9-C078-ABA4796A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18AAFFB-C90C-335A-6264-95FC4FCCE7AC}"/>
            </a:ext>
            <a:ext uri="{147F2762-F138-4A5C-976F-8EAC2B608ADB}">
              <a16:predDERef xmlns:a16="http://schemas.microsoft.com/office/drawing/2014/main" pred="{F19DC80C-79F3-AD0C-725E-C79B15588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90BC84E-B77B-4C74-E534-5737C2913E66}"/>
            </a:ext>
            <a:ext uri="{147F2762-F138-4A5C-976F-8EAC2B608ADB}">
              <a16:predDERef xmlns:a16="http://schemas.microsoft.com/office/drawing/2014/main" pred="{218AAFFB-C90C-335A-6264-95FC4FCCE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2FFF404-5733-C52E-9BC4-1C0956192C5B}"/>
            </a:ext>
            <a:ext uri="{147F2762-F138-4A5C-976F-8EAC2B608ADB}">
              <a16:predDERef xmlns:a16="http://schemas.microsoft.com/office/drawing/2014/main" pred="{990BC84E-B77B-4C74-E534-5737C2913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160C1FA-6184-4286-9F12-E7D6613C7175}"/>
            </a:ext>
            <a:ext uri="{147F2762-F138-4A5C-976F-8EAC2B608ADB}">
              <a16:predDERef xmlns:a16="http://schemas.microsoft.com/office/drawing/2014/main" pred="{12FFF404-5733-C52E-9BC4-1C0956192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93FEE48-4935-C2DB-93A4-99C078C7418F}"/>
            </a:ext>
            <a:ext uri="{147F2762-F138-4A5C-976F-8EAC2B608ADB}">
              <a16:predDERef xmlns:a16="http://schemas.microsoft.com/office/drawing/2014/main" pred="{6160C1FA-6184-4286-9F12-E7D6613C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5D5606A-ECD0-32EE-E05A-39110EA12D65}"/>
            </a:ext>
            <a:ext uri="{147F2762-F138-4A5C-976F-8EAC2B608ADB}">
              <a16:predDERef xmlns:a16="http://schemas.microsoft.com/office/drawing/2014/main" pred="{A93FEE48-4935-C2DB-93A4-99C078C74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57150</xdr:colOff>
      <xdr:row>1</xdr:row>
      <xdr:rowOff>47625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73362B0-D992-6685-A25A-4E87DA084374}"/>
            </a:ext>
            <a:ext uri="{147F2762-F138-4A5C-976F-8EAC2B608ADB}">
              <a16:predDERef xmlns:a16="http://schemas.microsoft.com/office/drawing/2014/main" pred="{B5D5606A-ECD0-32EE-E05A-39110EA12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7150" cy="47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2" name="BExF550G4KP0YAWS9LUI887VSTQ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3" name="BExU5LQN4H81JZW0P45YZSNYD6N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4" name="BEx3J08QV5T83F5KV62QO0AGLTEW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5" name="BExZQ97INMPW011DAOCY33DY643W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6" name="BExO98WG2MLYYYOJJUYQ8TVXRHW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7" name="BExML31EPWCSWEH8LKXECOVF0AM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8" name="BExGMUGMFX2J3E8RFFY11VNPK5XQ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9" name="BEx1NLN0P0ZEVRAEGRGY1T6MO8UD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0" name="BEx7F2PJIDK7YX2DDZRQ4XI0YAA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1" name="BExZYYZS1A83SWWAL40HH7KS6VDH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2" name="BExCZMVJGFDFVC4WABGT3ZVB7FE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3" name="BExD2L9P8PNNMPBZV3OUPQD32OO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4" name="BEx1N497BQILP8A5JGMCXY40ICLW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5" name="BExSCE3YFPZMK8M9PCVMGSG3CSW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6" name="BExZNTUDHZZSVYQHSTTK2FA26VS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7" name="BEx9HKNJI1HBJSTHJV8YLI5Q03OI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8" name="BExCREX5OOG3TX9NWAGY9OTFPMG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6</xdr:row>
      <xdr:rowOff>0</xdr:rowOff>
    </xdr:from>
    <xdr:ext cx="50800" cy="50800"/>
    <xdr:pic macro="[6]!DesignIconClicked">
      <xdr:nvPicPr>
        <xdr:cNvPr id="19" name="BExD82GXYYLEYAOFAX2NM3TONDN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800100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0" name="BExF550G4KP0YAWS9LUI887VSTQ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1" name="BExU5LQN4H81JZW0P45YZSNYD6N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2" name="BEx3J08QV5T83F5KV62QO0AGLTEW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3" name="BExZQ97INMPW011DAOCY33DY643W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4" name="BExO98WG2MLYYYOJJUYQ8TVXRHW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5" name="BExML31EPWCSWEH8LKXECOVF0AM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6" name="BExGMUGMFX2J3E8RFFY11VNPK5XQ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7" name="BEx1NLN0P0ZEVRAEGRGY1T6MO8UD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8" name="BEx7F2PJIDK7YX2DDZRQ4XI0YAA6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29" name="BExZYYZS1A83SWWAL40HH7KS6VDH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0" name="BExCZMVJGFDFVC4WABGT3ZVB7FE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1" name="BExD2L9P8PNNMPBZV3OUPQD32OO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2" name="BEx1N497BQILP8A5JGMCXY40ICLW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3" name="BExSCE3YFPZMK8M9PCVMGSG3CSW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4" name="BExZNTUDHZZSVYQHSTTK2FA26VS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5" name="BEx9HKNJI1HBJSTHJV8YLI5Q03OI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6" name="BExCREX5OOG3TX9NWAGY9OTFPMG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7" name="BExD82GXYYLEYAOFAX2NM3TONDN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00012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8" name="BExF550G4KP0YAWS9LUI887VSTQ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39" name="BExU5LQN4H81JZW0P45YZSNYD6N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0" name="BEx3J08QV5T83F5KV62QO0AGLTEW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1" name="BExZQ97INMPW011DAOCY33DY643W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2" name="BExO98WG2MLYYYOJJUYQ8TVXRHW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3" name="BExML31EPWCSWEH8LKXECOVF0AM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4" name="BExGMUGMFX2J3E8RFFY11VNPK5XQ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5" name="BEx1NLN0P0ZEVRAEGRGY1T6MO8UD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6" name="BEx7F2PJIDK7YX2DDZRQ4XI0YAA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7" name="BExZYYZS1A83SWWAL40HH7KS6VD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8" name="BExCZMVJGFDFVC4WABGT3ZVB7FE2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49" name="BExD2L9P8PNNMPBZV3OUPQD32OO0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50" name="BEx1N497BQILP8A5JGMCXY40ICLW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51" name="BExSCE3YFPZMK8M9PCVMGSG3CSWF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52" name="BExZNTUDHZZSVYQHSTTK2FA26VS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53" name="BEx9HKNJI1HBJSTHJV8YLI5Q03OI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54" name="BExCREX5OOG3TX9NWAGY9OTFPMG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 fPrintsWithSheet="0"/>
  </xdr:oneCellAnchor>
  <xdr:oneCellAnchor>
    <xdr:from>
      <xdr:col>0</xdr:col>
      <xdr:colOff>31750</xdr:colOff>
      <xdr:row>5</xdr:row>
      <xdr:rowOff>0</xdr:rowOff>
    </xdr:from>
    <xdr:ext cx="50800" cy="50800"/>
    <xdr:pic macro="[6]!DesignIconClicked">
      <xdr:nvPicPr>
        <xdr:cNvPr id="55" name="BExD82GXYYLEYAOFAX2NM3TONDN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3000375"/>
          <a:ext cx="50800" cy="508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01.%20PCR%20SPECIFICATION\PCR%20BUILDING%20SPECIFICATIONS\Trial%20spec\Building%20Spec\MASTER%20SPEC%20(Regular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\SPEC%20FROM%20GUNA\PCR%20BUILDING%20SPECIFICATIONS\MASTER%20Spec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0.60\specification\PCR\01.%20Spec\03.%20Master%20Spec\New%20format\MASTER%20SPEC%20(Regular)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New%20folder\JK\SPEC%20FROM%20GUNA\PCR%20BUILDING%20SPECIFICATIONS\MASTER%20Spec%20-%20Cop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velopment\01%20Trial%20size\185%20R14%20ULTIMA%20XPC%20-%20NALT\04.%20Gate%203%20with%20filipper\MASTER%20SPEC%20-%201814%20L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0.60\Program%20Files%20(x86)\Common%20Files\SAP%20Shared\BW\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Master-Tread,SW,Apex"/>
      <sheetName val="IL"/>
      <sheetName val="PLY"/>
      <sheetName val="BEAD &amp; APEX"/>
      <sheetName val="BELT"/>
      <sheetName val="CAP STRIP"/>
      <sheetName val="MASTER"/>
      <sheetName val="Bladder"/>
      <sheetName val="Color ID"/>
      <sheetName val="Tooling Trac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sw"/>
      <sheetName val="tread"/>
      <sheetName val="MASTER"/>
      <sheetName val="Master Sheet For 4Roll M.c"/>
      <sheetName val="4RC MASTER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Bead"/>
      <sheetName val="BEAD &amp; APEX"/>
      <sheetName val="IL "/>
      <sheetName val="PLY"/>
      <sheetName val="SIDEWALL"/>
      <sheetName val="BELT"/>
      <sheetName val="CAP STRIP"/>
      <sheetName val="TREAD"/>
      <sheetName val="Filliper"/>
      <sheetName val="MASTER LIST REGULAR "/>
      <sheetName val="Sheet1"/>
      <sheetName val="Sheet1-old"/>
      <sheetName val="Sheet2"/>
      <sheetName val="MASTER "/>
      <sheetName val="REV .DOC NO"/>
      <sheetName val="Bladder"/>
      <sheetName val="Color ID"/>
      <sheetName val="Tooling Trac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sw"/>
      <sheetName val="tread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sw"/>
      <sheetName val="tread"/>
      <sheetName val="MASTER"/>
      <sheetName val="11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"/>
      <sheetName val="BExStyles"/>
      <sheetName val="BExAnalyzer"/>
      <sheetName val="BExAnalyzer.xla"/>
    </sheetNames>
    <definedNames>
      <definedName name="DesignIconClicked"/>
    </defined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8FF1-8823-4D9B-B29E-1F239C3E900C}">
  <dimension ref="A1:O290"/>
  <sheetViews>
    <sheetView workbookViewId="0">
      <selection activeCell="A293" sqref="A293"/>
    </sheetView>
  </sheetViews>
  <sheetFormatPr defaultRowHeight="15"/>
  <cols>
    <col min="1" max="1" width="29" style="70" customWidth="1"/>
    <col min="2" max="2" width="20.5703125" style="70" bestFit="1" customWidth="1"/>
    <col min="3" max="3" width="3.28515625" style="70" bestFit="1" customWidth="1"/>
    <col min="4" max="4" width="45.140625" style="70" customWidth="1"/>
    <col min="5" max="16384" width="9.140625" style="70"/>
  </cols>
  <sheetData>
    <row r="1" spans="1:15">
      <c r="A1" s="63" t="s">
        <v>0</v>
      </c>
      <c r="B1" s="63" t="s">
        <v>1</v>
      </c>
      <c r="C1" s="63"/>
      <c r="D1" s="63" t="s">
        <v>2</v>
      </c>
      <c r="E1" s="63">
        <v>3401</v>
      </c>
      <c r="F1" s="63">
        <v>3402</v>
      </c>
      <c r="G1" s="63">
        <f>+F1+1</f>
        <v>3403</v>
      </c>
      <c r="H1" s="63">
        <f t="shared" ref="H1:N1" si="0">+G1+1</f>
        <v>3404</v>
      </c>
      <c r="I1" s="63">
        <f t="shared" si="0"/>
        <v>3405</v>
      </c>
      <c r="J1" s="63">
        <f t="shared" si="0"/>
        <v>3406</v>
      </c>
      <c r="K1" s="63">
        <f t="shared" si="0"/>
        <v>3407</v>
      </c>
      <c r="L1" s="63">
        <f t="shared" si="0"/>
        <v>3408</v>
      </c>
      <c r="M1" s="63">
        <f t="shared" si="0"/>
        <v>3409</v>
      </c>
      <c r="N1" s="63">
        <f t="shared" si="0"/>
        <v>3410</v>
      </c>
      <c r="O1" s="63">
        <v>3411</v>
      </c>
    </row>
    <row r="2" spans="1:15">
      <c r="A2" s="64" t="s">
        <v>3</v>
      </c>
      <c r="B2" s="64" t="s">
        <v>4</v>
      </c>
      <c r="C2" s="64" t="str">
        <f>MID(A2,9,2)</f>
        <v>17</v>
      </c>
      <c r="D2" s="63" t="s">
        <v>5</v>
      </c>
      <c r="E2" s="63"/>
      <c r="F2" s="63" t="s">
        <v>6</v>
      </c>
      <c r="G2" s="63"/>
      <c r="H2" s="63"/>
      <c r="I2" s="63"/>
      <c r="J2" s="63"/>
      <c r="K2" s="63"/>
      <c r="L2" s="65"/>
      <c r="M2" s="63"/>
      <c r="N2" s="63"/>
      <c r="O2" s="63" t="s">
        <v>6</v>
      </c>
    </row>
    <row r="3" spans="1:15">
      <c r="A3" s="66" t="s">
        <v>7</v>
      </c>
      <c r="B3" s="66" t="s">
        <v>8</v>
      </c>
      <c r="C3" s="64" t="str">
        <f t="shared" ref="C3:C63" si="1">MID(A3,9,2)</f>
        <v>15</v>
      </c>
      <c r="D3" s="65" t="s">
        <v>9</v>
      </c>
      <c r="E3" s="65"/>
      <c r="F3" s="65"/>
      <c r="G3" s="65"/>
      <c r="H3" s="65"/>
      <c r="I3" s="65"/>
      <c r="J3" s="65"/>
      <c r="K3" s="65" t="s">
        <v>6</v>
      </c>
      <c r="L3" s="65"/>
      <c r="M3" s="63"/>
      <c r="N3" s="65"/>
      <c r="O3" s="65"/>
    </row>
    <row r="4" spans="1:15">
      <c r="A4" s="66" t="s">
        <v>10</v>
      </c>
      <c r="B4" s="66" t="s">
        <v>11</v>
      </c>
      <c r="C4" s="64" t="str">
        <f t="shared" si="1"/>
        <v>15</v>
      </c>
      <c r="D4" s="65" t="s">
        <v>12</v>
      </c>
      <c r="E4" s="65"/>
      <c r="F4" s="65"/>
      <c r="G4" s="65"/>
      <c r="H4" s="65"/>
      <c r="I4" s="65"/>
      <c r="J4" s="65"/>
      <c r="K4" s="65" t="s">
        <v>6</v>
      </c>
      <c r="L4" s="65"/>
      <c r="M4" s="63"/>
      <c r="N4" s="65"/>
      <c r="O4" s="65"/>
    </row>
    <row r="5" spans="1:15" ht="15.75">
      <c r="A5" s="64" t="s">
        <v>13</v>
      </c>
      <c r="B5" s="64" t="s">
        <v>14</v>
      </c>
      <c r="C5" s="64" t="str">
        <f t="shared" si="1"/>
        <v>15</v>
      </c>
      <c r="D5" s="63" t="s">
        <v>15</v>
      </c>
      <c r="E5" s="63"/>
      <c r="F5" s="63"/>
      <c r="G5" s="63"/>
      <c r="H5" s="63"/>
      <c r="I5" s="63"/>
      <c r="J5" s="65"/>
      <c r="K5" s="65" t="s">
        <v>6</v>
      </c>
      <c r="L5" s="63" t="s">
        <v>6</v>
      </c>
      <c r="M5" s="63"/>
      <c r="N5" s="67"/>
      <c r="O5" s="63" t="s">
        <v>6</v>
      </c>
    </row>
    <row r="6" spans="1:15" ht="15.75">
      <c r="A6" s="66" t="s">
        <v>16</v>
      </c>
      <c r="B6" s="66" t="s">
        <v>17</v>
      </c>
      <c r="C6" s="64" t="str">
        <f t="shared" si="1"/>
        <v>15</v>
      </c>
      <c r="D6" s="65" t="s">
        <v>18</v>
      </c>
      <c r="E6" s="65"/>
      <c r="F6" s="65"/>
      <c r="G6" s="65"/>
      <c r="H6" s="65"/>
      <c r="I6" s="65"/>
      <c r="J6" s="65"/>
      <c r="K6" s="65" t="s">
        <v>6</v>
      </c>
      <c r="L6" s="65" t="s">
        <v>6</v>
      </c>
      <c r="M6" s="63"/>
      <c r="N6" s="65"/>
      <c r="O6" s="67" t="s">
        <v>6</v>
      </c>
    </row>
    <row r="7" spans="1:15">
      <c r="A7" s="66" t="s">
        <v>19</v>
      </c>
      <c r="B7" s="66" t="s">
        <v>20</v>
      </c>
      <c r="C7" s="64" t="str">
        <f t="shared" si="1"/>
        <v>15</v>
      </c>
      <c r="D7" s="65" t="s">
        <v>21</v>
      </c>
      <c r="E7" s="65"/>
      <c r="F7" s="65"/>
      <c r="G7" s="65"/>
      <c r="H7" s="65"/>
      <c r="I7" s="65"/>
      <c r="J7" s="65"/>
      <c r="K7" s="65" t="s">
        <v>6</v>
      </c>
      <c r="L7" s="65" t="s">
        <v>6</v>
      </c>
      <c r="M7" s="63"/>
      <c r="N7" s="65" t="s">
        <v>6</v>
      </c>
      <c r="O7" s="65"/>
    </row>
    <row r="8" spans="1:15">
      <c r="A8" s="66" t="s">
        <v>22</v>
      </c>
      <c r="B8" s="66" t="s">
        <v>23</v>
      </c>
      <c r="C8" s="64" t="str">
        <f t="shared" si="1"/>
        <v>15</v>
      </c>
      <c r="D8" s="65" t="s">
        <v>24</v>
      </c>
      <c r="E8" s="65"/>
      <c r="F8" s="65"/>
      <c r="G8" s="65"/>
      <c r="H8" s="65"/>
      <c r="I8" s="65"/>
      <c r="J8" s="65"/>
      <c r="K8" s="65" t="s">
        <v>6</v>
      </c>
      <c r="L8" s="65" t="s">
        <v>6</v>
      </c>
      <c r="M8" s="63"/>
      <c r="N8" s="65"/>
      <c r="O8" s="65"/>
    </row>
    <row r="9" spans="1:15">
      <c r="A9" s="66" t="s">
        <v>25</v>
      </c>
      <c r="B9" s="66" t="s">
        <v>26</v>
      </c>
      <c r="C9" s="64" t="str">
        <f t="shared" si="1"/>
        <v>17</v>
      </c>
      <c r="D9" s="65" t="s">
        <v>27</v>
      </c>
      <c r="E9" s="65" t="s">
        <v>6</v>
      </c>
      <c r="F9" s="65" t="s">
        <v>6</v>
      </c>
      <c r="G9" s="65"/>
      <c r="H9" s="65"/>
      <c r="I9" s="65"/>
      <c r="J9" s="65"/>
      <c r="K9" s="65"/>
      <c r="L9" s="65"/>
      <c r="M9" s="63"/>
      <c r="N9" s="65" t="s">
        <v>6</v>
      </c>
      <c r="O9" s="65" t="s">
        <v>6</v>
      </c>
    </row>
    <row r="10" spans="1:15">
      <c r="A10" s="66" t="s">
        <v>28</v>
      </c>
      <c r="B10" s="66" t="s">
        <v>29</v>
      </c>
      <c r="C10" s="64" t="str">
        <f t="shared" si="1"/>
        <v>16</v>
      </c>
      <c r="D10" s="65" t="s">
        <v>30</v>
      </c>
      <c r="E10" s="65" t="s">
        <v>6</v>
      </c>
      <c r="F10" s="65" t="s">
        <v>6</v>
      </c>
      <c r="G10" s="65"/>
      <c r="H10" s="65"/>
      <c r="I10" s="65"/>
      <c r="J10" s="65"/>
      <c r="K10" s="65"/>
      <c r="L10" s="65"/>
      <c r="M10" s="63" t="s">
        <v>6</v>
      </c>
      <c r="N10" s="65" t="s">
        <v>6</v>
      </c>
      <c r="O10" s="63" t="s">
        <v>6</v>
      </c>
    </row>
    <row r="11" spans="1:15" ht="15.75">
      <c r="A11" s="66" t="s">
        <v>31</v>
      </c>
      <c r="B11" s="66" t="s">
        <v>32</v>
      </c>
      <c r="C11" s="64" t="str">
        <f t="shared" si="1"/>
        <v>15</v>
      </c>
      <c r="D11" s="65" t="s">
        <v>33</v>
      </c>
      <c r="E11" s="65" t="s">
        <v>6</v>
      </c>
      <c r="F11" s="65"/>
      <c r="G11" s="65"/>
      <c r="H11" s="65"/>
      <c r="I11" s="65"/>
      <c r="J11" s="65"/>
      <c r="K11" s="65" t="s">
        <v>6</v>
      </c>
      <c r="L11" s="65" t="s">
        <v>6</v>
      </c>
      <c r="M11" s="63"/>
      <c r="N11" s="65"/>
      <c r="O11" s="67" t="s">
        <v>6</v>
      </c>
    </row>
    <row r="12" spans="1:15">
      <c r="A12" s="64" t="s">
        <v>34</v>
      </c>
      <c r="B12" s="64" t="s">
        <v>35</v>
      </c>
      <c r="C12" s="64" t="str">
        <f t="shared" si="1"/>
        <v>18</v>
      </c>
      <c r="D12" s="63" t="s">
        <v>36</v>
      </c>
      <c r="E12" s="63"/>
      <c r="F12" s="63"/>
      <c r="G12" s="63"/>
      <c r="H12" s="63"/>
      <c r="I12" s="63"/>
      <c r="J12" s="63"/>
      <c r="K12" s="63"/>
      <c r="L12" s="63"/>
      <c r="M12" s="63"/>
      <c r="N12" s="63" t="s">
        <v>6</v>
      </c>
      <c r="O12" s="63"/>
    </row>
    <row r="13" spans="1:15">
      <c r="A13" s="66" t="s">
        <v>37</v>
      </c>
      <c r="B13" s="66" t="s">
        <v>38</v>
      </c>
      <c r="C13" s="64" t="str">
        <f t="shared" si="1"/>
        <v>16</v>
      </c>
      <c r="D13" s="65" t="s">
        <v>39</v>
      </c>
      <c r="E13" s="65"/>
      <c r="F13" s="65"/>
      <c r="G13" s="65"/>
      <c r="H13" s="65"/>
      <c r="I13" s="65"/>
      <c r="J13" s="65"/>
      <c r="K13" s="65"/>
      <c r="L13" s="65"/>
      <c r="M13" s="63" t="s">
        <v>6</v>
      </c>
      <c r="N13" s="65"/>
      <c r="O13" s="65"/>
    </row>
    <row r="14" spans="1:15" ht="15.75">
      <c r="A14" s="66" t="s">
        <v>40</v>
      </c>
      <c r="B14" s="66" t="s">
        <v>41</v>
      </c>
      <c r="C14" s="64" t="str">
        <f t="shared" si="1"/>
        <v>15</v>
      </c>
      <c r="D14" s="65" t="s">
        <v>42</v>
      </c>
      <c r="E14" s="65" t="s">
        <v>6</v>
      </c>
      <c r="F14" s="65" t="s">
        <v>6</v>
      </c>
      <c r="G14" s="65"/>
      <c r="H14" s="65"/>
      <c r="I14" s="65"/>
      <c r="J14" s="65"/>
      <c r="K14" s="63" t="s">
        <v>6</v>
      </c>
      <c r="L14" s="65" t="s">
        <v>6</v>
      </c>
      <c r="M14" s="63"/>
      <c r="N14" s="65"/>
      <c r="O14" s="67" t="s">
        <v>6</v>
      </c>
    </row>
    <row r="15" spans="1:15">
      <c r="A15" s="66" t="s">
        <v>43</v>
      </c>
      <c r="B15" s="66" t="s">
        <v>44</v>
      </c>
      <c r="C15" s="64" t="str">
        <f t="shared" si="1"/>
        <v>17</v>
      </c>
      <c r="D15" s="65" t="s">
        <v>45</v>
      </c>
      <c r="E15" s="65"/>
      <c r="F15" s="63" t="s">
        <v>6</v>
      </c>
      <c r="G15" s="65"/>
      <c r="H15" s="65"/>
      <c r="I15" s="65"/>
      <c r="J15" s="65"/>
      <c r="K15" s="65"/>
      <c r="L15" s="63"/>
      <c r="M15" s="63"/>
      <c r="N15" s="65"/>
      <c r="O15" s="65"/>
    </row>
    <row r="16" spans="1:15">
      <c r="A16" s="66" t="s">
        <v>46</v>
      </c>
      <c r="B16" s="66" t="s">
        <v>47</v>
      </c>
      <c r="C16" s="64" t="str">
        <f t="shared" si="1"/>
        <v>16</v>
      </c>
      <c r="D16" s="65" t="s">
        <v>48</v>
      </c>
      <c r="E16" s="65"/>
      <c r="F16" s="65"/>
      <c r="G16" s="65"/>
      <c r="H16" s="65"/>
      <c r="I16" s="65"/>
      <c r="J16" s="65"/>
      <c r="K16" s="65"/>
      <c r="L16" s="65"/>
      <c r="M16" s="63" t="s">
        <v>6</v>
      </c>
      <c r="N16" s="65"/>
      <c r="O16" s="63"/>
    </row>
    <row r="17" spans="1:15">
      <c r="A17" s="64" t="s">
        <v>49</v>
      </c>
      <c r="B17" s="64" t="s">
        <v>50</v>
      </c>
      <c r="C17" s="64" t="str">
        <f t="shared" si="1"/>
        <v>17</v>
      </c>
      <c r="D17" s="63" t="s">
        <v>51</v>
      </c>
      <c r="E17" s="63"/>
      <c r="F17" s="63"/>
      <c r="G17" s="63"/>
      <c r="H17" s="63"/>
      <c r="I17" s="63"/>
      <c r="J17" s="63"/>
      <c r="K17" s="63"/>
      <c r="L17" s="65"/>
      <c r="M17" s="63"/>
      <c r="N17" s="63"/>
      <c r="O17" s="63" t="s">
        <v>6</v>
      </c>
    </row>
    <row r="18" spans="1:15">
      <c r="A18" s="64" t="s">
        <v>52</v>
      </c>
      <c r="B18" s="64" t="s">
        <v>53</v>
      </c>
      <c r="C18" s="64" t="str">
        <f t="shared" si="1"/>
        <v>16</v>
      </c>
      <c r="D18" s="63" t="s">
        <v>54</v>
      </c>
      <c r="E18" s="63"/>
      <c r="F18" s="63"/>
      <c r="G18" s="63"/>
      <c r="H18" s="63"/>
      <c r="I18" s="63"/>
      <c r="J18" s="63"/>
      <c r="K18" s="63"/>
      <c r="L18" s="65"/>
      <c r="M18" s="63"/>
      <c r="N18" s="63"/>
      <c r="O18" s="63" t="s">
        <v>6</v>
      </c>
    </row>
    <row r="19" spans="1:15">
      <c r="A19" s="66" t="s">
        <v>55</v>
      </c>
      <c r="B19" s="66" t="s">
        <v>56</v>
      </c>
      <c r="C19" s="64" t="str">
        <f t="shared" si="1"/>
        <v>16</v>
      </c>
      <c r="D19" s="65" t="s">
        <v>57</v>
      </c>
      <c r="E19" s="65" t="s">
        <v>6</v>
      </c>
      <c r="F19" s="65" t="s">
        <v>6</v>
      </c>
      <c r="G19" s="65"/>
      <c r="H19" s="65"/>
      <c r="I19" s="65"/>
      <c r="J19" s="65"/>
      <c r="K19" s="65"/>
      <c r="L19" s="65"/>
      <c r="M19" s="63" t="s">
        <v>6</v>
      </c>
      <c r="N19" s="65" t="s">
        <v>6</v>
      </c>
      <c r="O19" s="65" t="s">
        <v>6</v>
      </c>
    </row>
    <row r="20" spans="1:15">
      <c r="A20" s="66" t="s">
        <v>58</v>
      </c>
      <c r="B20" s="64" t="s">
        <v>59</v>
      </c>
      <c r="C20" s="64" t="str">
        <f t="shared" si="1"/>
        <v>18</v>
      </c>
      <c r="D20" s="65" t="s">
        <v>60</v>
      </c>
      <c r="E20" s="65"/>
      <c r="F20" s="63" t="s">
        <v>6</v>
      </c>
      <c r="G20" s="65"/>
      <c r="H20" s="65"/>
      <c r="I20" s="65"/>
      <c r="J20" s="65"/>
      <c r="K20" s="65"/>
      <c r="L20" s="63" t="s">
        <v>6</v>
      </c>
      <c r="M20" s="63" t="s">
        <v>6</v>
      </c>
      <c r="N20" s="65"/>
      <c r="O20" s="63" t="s">
        <v>6</v>
      </c>
    </row>
    <row r="21" spans="1:15">
      <c r="A21" s="66" t="s">
        <v>61</v>
      </c>
      <c r="B21" s="66" t="s">
        <v>62</v>
      </c>
      <c r="C21" s="64" t="str">
        <f t="shared" si="1"/>
        <v>17</v>
      </c>
      <c r="D21" s="65" t="s">
        <v>63</v>
      </c>
      <c r="E21" s="65" t="s">
        <v>6</v>
      </c>
      <c r="F21" s="65" t="s">
        <v>6</v>
      </c>
      <c r="G21" s="65"/>
      <c r="H21" s="65"/>
      <c r="I21" s="65"/>
      <c r="J21" s="65"/>
      <c r="K21" s="65"/>
      <c r="L21" s="65" t="s">
        <v>6</v>
      </c>
      <c r="M21" s="63"/>
      <c r="N21" s="65" t="s">
        <v>6</v>
      </c>
      <c r="O21" s="63" t="s">
        <v>6</v>
      </c>
    </row>
    <row r="22" spans="1:15">
      <c r="A22" s="66" t="s">
        <v>64</v>
      </c>
      <c r="B22" s="66" t="s">
        <v>65</v>
      </c>
      <c r="C22" s="64" t="str">
        <f t="shared" si="1"/>
        <v>16</v>
      </c>
      <c r="D22" s="65" t="s">
        <v>66</v>
      </c>
      <c r="E22" s="65"/>
      <c r="F22" s="65"/>
      <c r="G22" s="65"/>
      <c r="H22" s="65"/>
      <c r="I22" s="65"/>
      <c r="J22" s="65"/>
      <c r="K22" s="65"/>
      <c r="L22" s="63" t="s">
        <v>6</v>
      </c>
      <c r="M22" s="63" t="s">
        <v>6</v>
      </c>
      <c r="N22" s="65"/>
      <c r="O22" s="65" t="s">
        <v>6</v>
      </c>
    </row>
    <row r="23" spans="1:15">
      <c r="A23" s="64" t="s">
        <v>67</v>
      </c>
      <c r="B23" s="64" t="s">
        <v>68</v>
      </c>
      <c r="C23" s="64" t="str">
        <f t="shared" si="1"/>
        <v>18</v>
      </c>
      <c r="D23" s="63" t="s">
        <v>69</v>
      </c>
      <c r="E23" s="63"/>
      <c r="F23" s="63" t="s">
        <v>6</v>
      </c>
      <c r="G23" s="63"/>
      <c r="H23" s="63"/>
      <c r="I23" s="63"/>
      <c r="J23" s="63"/>
      <c r="K23" s="63"/>
      <c r="L23" s="65"/>
      <c r="M23" s="63"/>
      <c r="N23" s="63"/>
      <c r="O23" s="63" t="s">
        <v>6</v>
      </c>
    </row>
    <row r="24" spans="1:15">
      <c r="A24" s="66" t="s">
        <v>70</v>
      </c>
      <c r="B24" s="66" t="s">
        <v>71</v>
      </c>
      <c r="C24" s="64" t="str">
        <f t="shared" si="1"/>
        <v>17</v>
      </c>
      <c r="D24" s="65" t="s">
        <v>72</v>
      </c>
      <c r="E24" s="65" t="s">
        <v>6</v>
      </c>
      <c r="F24" s="65" t="s">
        <v>6</v>
      </c>
      <c r="G24" s="65"/>
      <c r="H24" s="65"/>
      <c r="I24" s="65"/>
      <c r="J24" s="65"/>
      <c r="K24" s="65"/>
      <c r="L24" s="65"/>
      <c r="M24" s="63"/>
      <c r="N24" s="65" t="s">
        <v>6</v>
      </c>
      <c r="O24" s="65"/>
    </row>
    <row r="25" spans="1:15">
      <c r="A25" s="66" t="s">
        <v>73</v>
      </c>
      <c r="B25" s="66" t="s">
        <v>74</v>
      </c>
      <c r="C25" s="64" t="str">
        <f t="shared" si="1"/>
        <v>16</v>
      </c>
      <c r="D25" s="65" t="s">
        <v>75</v>
      </c>
      <c r="E25" s="65"/>
      <c r="F25" s="65"/>
      <c r="G25" s="65"/>
      <c r="H25" s="65"/>
      <c r="I25" s="65"/>
      <c r="J25" s="65"/>
      <c r="K25" s="65"/>
      <c r="L25" s="65"/>
      <c r="M25" s="63" t="s">
        <v>6</v>
      </c>
      <c r="N25" s="65"/>
      <c r="O25" s="63" t="s">
        <v>6</v>
      </c>
    </row>
    <row r="26" spans="1:15">
      <c r="A26" s="66" t="s">
        <v>76</v>
      </c>
      <c r="B26" s="66" t="s">
        <v>77</v>
      </c>
      <c r="C26" s="64" t="str">
        <f t="shared" si="1"/>
        <v>17</v>
      </c>
      <c r="D26" s="65" t="s">
        <v>78</v>
      </c>
      <c r="E26" s="65"/>
      <c r="F26" s="65"/>
      <c r="G26" s="65"/>
      <c r="H26" s="65"/>
      <c r="I26" s="65"/>
      <c r="J26" s="65"/>
      <c r="K26" s="65"/>
      <c r="L26" s="65"/>
      <c r="M26" s="65" t="s">
        <v>6</v>
      </c>
      <c r="N26" s="65" t="s">
        <v>6</v>
      </c>
      <c r="O26" s="65" t="s">
        <v>6</v>
      </c>
    </row>
    <row r="27" spans="1:15">
      <c r="A27" s="66" t="s">
        <v>79</v>
      </c>
      <c r="B27" s="66" t="s">
        <v>80</v>
      </c>
      <c r="C27" s="64" t="str">
        <f t="shared" si="1"/>
        <v>18</v>
      </c>
      <c r="D27" s="65" t="s">
        <v>81</v>
      </c>
      <c r="E27" s="65"/>
      <c r="F27" s="65"/>
      <c r="G27" s="65"/>
      <c r="H27" s="65"/>
      <c r="I27" s="65"/>
      <c r="J27" s="65"/>
      <c r="K27" s="65"/>
      <c r="L27" s="65"/>
      <c r="M27" s="63" t="s">
        <v>6</v>
      </c>
      <c r="N27" s="65"/>
      <c r="O27" s="65"/>
    </row>
    <row r="28" spans="1:15">
      <c r="A28" s="66" t="s">
        <v>82</v>
      </c>
      <c r="B28" s="66" t="s">
        <v>83</v>
      </c>
      <c r="C28" s="64" t="str">
        <f t="shared" si="1"/>
        <v>17</v>
      </c>
      <c r="D28" s="65" t="s">
        <v>84</v>
      </c>
      <c r="E28" s="65"/>
      <c r="F28" s="65" t="s">
        <v>6</v>
      </c>
      <c r="G28" s="65"/>
      <c r="H28" s="65"/>
      <c r="I28" s="65"/>
      <c r="J28" s="65"/>
      <c r="K28" s="65"/>
      <c r="L28" s="65"/>
      <c r="M28" s="63"/>
      <c r="N28" s="65"/>
      <c r="O28" s="63" t="s">
        <v>6</v>
      </c>
    </row>
    <row r="29" spans="1:15">
      <c r="A29" s="66" t="s">
        <v>85</v>
      </c>
      <c r="B29" s="66" t="s">
        <v>86</v>
      </c>
      <c r="C29" s="64" t="str">
        <f t="shared" si="1"/>
        <v>16</v>
      </c>
      <c r="D29" s="65" t="s">
        <v>87</v>
      </c>
      <c r="E29" s="65"/>
      <c r="F29" s="65"/>
      <c r="G29" s="65"/>
      <c r="H29" s="65"/>
      <c r="I29" s="65"/>
      <c r="J29" s="65"/>
      <c r="K29" s="65"/>
      <c r="L29" s="65"/>
      <c r="M29" s="63" t="s">
        <v>6</v>
      </c>
      <c r="N29" s="65" t="s">
        <v>6</v>
      </c>
      <c r="O29" s="65" t="s">
        <v>6</v>
      </c>
    </row>
    <row r="30" spans="1:15">
      <c r="A30" s="66" t="s">
        <v>88</v>
      </c>
      <c r="B30" s="66" t="s">
        <v>89</v>
      </c>
      <c r="C30" s="64" t="str">
        <f t="shared" si="1"/>
        <v>16</v>
      </c>
      <c r="D30" s="65" t="s">
        <v>90</v>
      </c>
      <c r="E30" s="65"/>
      <c r="F30" s="65"/>
      <c r="G30" s="65"/>
      <c r="H30" s="65"/>
      <c r="I30" s="65"/>
      <c r="J30" s="65"/>
      <c r="K30" s="65"/>
      <c r="L30" s="65"/>
      <c r="M30" s="63" t="s">
        <v>6</v>
      </c>
      <c r="N30" s="65" t="s">
        <v>6</v>
      </c>
      <c r="O30" s="63" t="s">
        <v>6</v>
      </c>
    </row>
    <row r="31" spans="1:15" ht="15.75">
      <c r="A31" s="66" t="s">
        <v>91</v>
      </c>
      <c r="B31" s="66" t="s">
        <v>92</v>
      </c>
      <c r="C31" s="64" t="str">
        <f t="shared" si="1"/>
        <v>15</v>
      </c>
      <c r="D31" s="65" t="s">
        <v>93</v>
      </c>
      <c r="E31" s="65" t="s">
        <v>6</v>
      </c>
      <c r="F31" s="65" t="s">
        <v>6</v>
      </c>
      <c r="G31" s="65" t="s">
        <v>6</v>
      </c>
      <c r="H31" s="65"/>
      <c r="I31" s="65"/>
      <c r="J31" s="65"/>
      <c r="K31" s="65" t="s">
        <v>6</v>
      </c>
      <c r="L31" s="65" t="s">
        <v>6</v>
      </c>
      <c r="M31" s="63"/>
      <c r="N31" s="65" t="s">
        <v>6</v>
      </c>
      <c r="O31" s="67" t="s">
        <v>6</v>
      </c>
    </row>
    <row r="32" spans="1:15">
      <c r="A32" s="66" t="s">
        <v>94</v>
      </c>
      <c r="B32" s="66" t="s">
        <v>95</v>
      </c>
      <c r="C32" s="64" t="str">
        <f t="shared" si="1"/>
        <v>18</v>
      </c>
      <c r="D32" s="65" t="s">
        <v>96</v>
      </c>
      <c r="E32" s="65" t="s">
        <v>6</v>
      </c>
      <c r="F32" s="65" t="s">
        <v>6</v>
      </c>
      <c r="G32" s="65"/>
      <c r="H32" s="65"/>
      <c r="I32" s="65"/>
      <c r="J32" s="65"/>
      <c r="K32" s="65"/>
      <c r="L32" s="65" t="s">
        <v>6</v>
      </c>
      <c r="M32" s="63" t="s">
        <v>6</v>
      </c>
      <c r="N32" s="65"/>
      <c r="O32" s="65" t="s">
        <v>6</v>
      </c>
    </row>
    <row r="33" spans="1:15">
      <c r="A33" s="66" t="s">
        <v>97</v>
      </c>
      <c r="B33" s="66" t="s">
        <v>98</v>
      </c>
      <c r="C33" s="64" t="str">
        <f t="shared" si="1"/>
        <v>18</v>
      </c>
      <c r="D33" s="65" t="s">
        <v>99</v>
      </c>
      <c r="E33" s="65"/>
      <c r="F33" s="65"/>
      <c r="G33" s="65"/>
      <c r="H33" s="65"/>
      <c r="I33" s="65"/>
      <c r="J33" s="65"/>
      <c r="K33" s="65"/>
      <c r="L33" s="65"/>
      <c r="M33" s="63" t="s">
        <v>6</v>
      </c>
      <c r="N33" s="65"/>
      <c r="O33" s="65"/>
    </row>
    <row r="34" spans="1:15">
      <c r="A34" s="66" t="s">
        <v>100</v>
      </c>
      <c r="B34" s="66" t="s">
        <v>101</v>
      </c>
      <c r="C34" s="64" t="str">
        <f t="shared" si="1"/>
        <v>18</v>
      </c>
      <c r="D34" s="65" t="s">
        <v>102</v>
      </c>
      <c r="E34" s="65"/>
      <c r="F34" s="65"/>
      <c r="G34" s="65"/>
      <c r="H34" s="65"/>
      <c r="I34" s="65"/>
      <c r="J34" s="65"/>
      <c r="K34" s="65"/>
      <c r="L34" s="65"/>
      <c r="M34" s="63" t="s">
        <v>6</v>
      </c>
      <c r="N34" s="65"/>
      <c r="O34" s="65"/>
    </row>
    <row r="35" spans="1:15">
      <c r="A35" s="66" t="s">
        <v>103</v>
      </c>
      <c r="B35" s="66" t="s">
        <v>104</v>
      </c>
      <c r="C35" s="64" t="str">
        <f t="shared" si="1"/>
        <v>17</v>
      </c>
      <c r="D35" s="65" t="s">
        <v>105</v>
      </c>
      <c r="E35" s="65" t="s">
        <v>6</v>
      </c>
      <c r="F35" s="65" t="s">
        <v>6</v>
      </c>
      <c r="G35" s="65"/>
      <c r="H35" s="65"/>
      <c r="I35" s="65"/>
      <c r="J35" s="65"/>
      <c r="K35" s="65"/>
      <c r="L35" s="65"/>
      <c r="M35" s="63"/>
      <c r="N35" s="65" t="s">
        <v>6</v>
      </c>
      <c r="O35" s="65"/>
    </row>
    <row r="36" spans="1:15" ht="15.75">
      <c r="A36" s="64" t="s">
        <v>106</v>
      </c>
      <c r="B36" s="64" t="s">
        <v>107</v>
      </c>
      <c r="C36" s="64" t="str">
        <f t="shared" si="1"/>
        <v>15</v>
      </c>
      <c r="D36" s="63" t="s">
        <v>108</v>
      </c>
      <c r="E36" s="63"/>
      <c r="F36" s="63"/>
      <c r="G36" s="63"/>
      <c r="H36" s="63"/>
      <c r="I36" s="63"/>
      <c r="J36" s="65"/>
      <c r="K36" s="65" t="s">
        <v>6</v>
      </c>
      <c r="L36" s="65" t="s">
        <v>6</v>
      </c>
      <c r="M36" s="63"/>
      <c r="N36" s="67"/>
      <c r="O36" s="67"/>
    </row>
    <row r="37" spans="1:15">
      <c r="A37" s="66" t="s">
        <v>109</v>
      </c>
      <c r="B37" s="66" t="s">
        <v>110</v>
      </c>
      <c r="C37" s="64" t="str">
        <f t="shared" si="1"/>
        <v>18</v>
      </c>
      <c r="D37" s="65" t="s">
        <v>111</v>
      </c>
      <c r="E37" s="65"/>
      <c r="F37" s="65"/>
      <c r="G37" s="65"/>
      <c r="H37" s="65"/>
      <c r="I37" s="65"/>
      <c r="J37" s="65"/>
      <c r="K37" s="65"/>
      <c r="L37" s="65"/>
      <c r="M37" s="63"/>
      <c r="N37" s="65" t="s">
        <v>6</v>
      </c>
      <c r="O37" s="65" t="s">
        <v>6</v>
      </c>
    </row>
    <row r="38" spans="1:15">
      <c r="A38" s="66" t="s">
        <v>112</v>
      </c>
      <c r="B38" s="66" t="s">
        <v>113</v>
      </c>
      <c r="C38" s="64" t="str">
        <f t="shared" si="1"/>
        <v>17</v>
      </c>
      <c r="D38" s="65" t="s">
        <v>114</v>
      </c>
      <c r="E38" s="65" t="s">
        <v>6</v>
      </c>
      <c r="F38" s="65" t="s">
        <v>6</v>
      </c>
      <c r="G38" s="65"/>
      <c r="H38" s="65"/>
      <c r="I38" s="65"/>
      <c r="J38" s="65"/>
      <c r="K38" s="65"/>
      <c r="L38" s="65"/>
      <c r="M38" s="63"/>
      <c r="N38" s="65"/>
      <c r="O38" s="65" t="s">
        <v>6</v>
      </c>
    </row>
    <row r="39" spans="1:15">
      <c r="A39" s="66" t="s">
        <v>115</v>
      </c>
      <c r="B39" s="66" t="s">
        <v>116</v>
      </c>
      <c r="C39" s="64" t="str">
        <f t="shared" si="1"/>
        <v>16</v>
      </c>
      <c r="D39" s="65" t="s">
        <v>117</v>
      </c>
      <c r="E39" s="65" t="s">
        <v>6</v>
      </c>
      <c r="F39" s="65" t="s">
        <v>6</v>
      </c>
      <c r="G39" s="65"/>
      <c r="H39" s="65" t="s">
        <v>6</v>
      </c>
      <c r="I39" s="65"/>
      <c r="J39" s="65"/>
      <c r="K39" s="65"/>
      <c r="L39" s="65" t="s">
        <v>6</v>
      </c>
      <c r="M39" s="63" t="s">
        <v>6</v>
      </c>
      <c r="N39" s="65" t="s">
        <v>6</v>
      </c>
      <c r="O39" s="65" t="s">
        <v>6</v>
      </c>
    </row>
    <row r="40" spans="1:15">
      <c r="A40" s="66" t="s">
        <v>118</v>
      </c>
      <c r="B40" s="66" t="s">
        <v>119</v>
      </c>
      <c r="C40" s="64" t="str">
        <f t="shared" si="1"/>
        <v>16</v>
      </c>
      <c r="D40" s="65" t="s">
        <v>120</v>
      </c>
      <c r="E40" s="65" t="s">
        <v>6</v>
      </c>
      <c r="F40" s="65" t="s">
        <v>6</v>
      </c>
      <c r="G40" s="65"/>
      <c r="H40" s="65"/>
      <c r="I40" s="65"/>
      <c r="J40" s="65"/>
      <c r="K40" s="65"/>
      <c r="L40" s="65" t="s">
        <v>6</v>
      </c>
      <c r="M40" s="63" t="s">
        <v>6</v>
      </c>
      <c r="N40" s="65" t="s">
        <v>6</v>
      </c>
      <c r="O40" s="65" t="s">
        <v>6</v>
      </c>
    </row>
    <row r="41" spans="1:15">
      <c r="A41" s="64" t="s">
        <v>121</v>
      </c>
      <c r="B41" s="64" t="s">
        <v>122</v>
      </c>
      <c r="C41" s="64" t="str">
        <f t="shared" si="1"/>
        <v>16</v>
      </c>
      <c r="D41" s="63" t="s">
        <v>123</v>
      </c>
      <c r="E41" s="63"/>
      <c r="F41" s="63" t="s">
        <v>6</v>
      </c>
      <c r="G41" s="63"/>
      <c r="H41" s="63"/>
      <c r="I41" s="63"/>
      <c r="J41" s="63"/>
      <c r="K41" s="63"/>
      <c r="L41" s="65"/>
      <c r="M41" s="63"/>
      <c r="N41" s="63"/>
      <c r="O41" s="63" t="s">
        <v>6</v>
      </c>
    </row>
    <row r="42" spans="1:15">
      <c r="A42" s="66" t="s">
        <v>124</v>
      </c>
      <c r="B42" s="66" t="s">
        <v>125</v>
      </c>
      <c r="C42" s="64" t="str">
        <f t="shared" si="1"/>
        <v>16</v>
      </c>
      <c r="D42" s="65" t="s">
        <v>126</v>
      </c>
      <c r="E42" s="65" t="s">
        <v>6</v>
      </c>
      <c r="F42" s="65" t="s">
        <v>6</v>
      </c>
      <c r="G42" s="65"/>
      <c r="H42" s="65"/>
      <c r="I42" s="65"/>
      <c r="J42" s="65"/>
      <c r="K42" s="65"/>
      <c r="L42" s="65"/>
      <c r="M42" s="63"/>
      <c r="N42" s="65"/>
      <c r="O42" s="65"/>
    </row>
    <row r="43" spans="1:15">
      <c r="A43" s="66" t="s">
        <v>127</v>
      </c>
      <c r="B43" s="66" t="s">
        <v>128</v>
      </c>
      <c r="C43" s="64" t="str">
        <f t="shared" si="1"/>
        <v>16</v>
      </c>
      <c r="D43" s="65" t="s">
        <v>129</v>
      </c>
      <c r="E43" s="65"/>
      <c r="F43" s="65"/>
      <c r="G43" s="65"/>
      <c r="H43" s="65"/>
      <c r="I43" s="65"/>
      <c r="J43" s="65"/>
      <c r="K43" s="65"/>
      <c r="L43" s="63" t="s">
        <v>6</v>
      </c>
      <c r="M43" s="63" t="s">
        <v>6</v>
      </c>
      <c r="N43" s="65" t="s">
        <v>6</v>
      </c>
      <c r="O43" s="65" t="s">
        <v>6</v>
      </c>
    </row>
    <row r="44" spans="1:15">
      <c r="A44" s="64" t="s">
        <v>130</v>
      </c>
      <c r="B44" s="64" t="s">
        <v>131</v>
      </c>
      <c r="C44" s="64" t="str">
        <f t="shared" si="1"/>
        <v>16</v>
      </c>
      <c r="D44" s="63" t="s">
        <v>132</v>
      </c>
      <c r="E44" s="63"/>
      <c r="F44" s="63"/>
      <c r="G44" s="63"/>
      <c r="H44" s="63"/>
      <c r="I44" s="63"/>
      <c r="J44" s="63"/>
      <c r="K44" s="63"/>
      <c r="L44" s="65"/>
      <c r="M44" s="63"/>
      <c r="N44" s="63"/>
      <c r="O44" s="63" t="s">
        <v>6</v>
      </c>
    </row>
    <row r="45" spans="1:15">
      <c r="A45" s="64" t="s">
        <v>133</v>
      </c>
      <c r="B45" s="64" t="s">
        <v>134</v>
      </c>
      <c r="C45" s="64" t="str">
        <f t="shared" si="1"/>
        <v>16</v>
      </c>
      <c r="D45" s="63" t="s">
        <v>135</v>
      </c>
      <c r="E45" s="63" t="s">
        <v>6</v>
      </c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1:15" ht="15.75">
      <c r="A46" s="66" t="s">
        <v>136</v>
      </c>
      <c r="B46" s="66" t="s">
        <v>137</v>
      </c>
      <c r="C46" s="64" t="str">
        <f t="shared" si="1"/>
        <v>17</v>
      </c>
      <c r="D46" s="65" t="s">
        <v>138</v>
      </c>
      <c r="E46" s="65"/>
      <c r="F46" s="65" t="s">
        <v>6</v>
      </c>
      <c r="G46" s="65"/>
      <c r="H46" s="65"/>
      <c r="I46" s="65"/>
      <c r="J46" s="65"/>
      <c r="K46" s="65"/>
      <c r="L46" s="65"/>
      <c r="M46" s="63"/>
      <c r="N46" s="65"/>
      <c r="O46" s="67" t="s">
        <v>6</v>
      </c>
    </row>
    <row r="47" spans="1:15">
      <c r="A47" s="66" t="s">
        <v>139</v>
      </c>
      <c r="B47" s="66" t="s">
        <v>140</v>
      </c>
      <c r="C47" s="64" t="str">
        <f t="shared" si="1"/>
        <v>15</v>
      </c>
      <c r="D47" s="65" t="s">
        <v>141</v>
      </c>
      <c r="E47" s="65" t="s">
        <v>6</v>
      </c>
      <c r="F47" s="65" t="s">
        <v>6</v>
      </c>
      <c r="G47" s="65" t="s">
        <v>6</v>
      </c>
      <c r="H47" s="65" t="s">
        <v>6</v>
      </c>
      <c r="I47" s="65"/>
      <c r="J47" s="65"/>
      <c r="K47" s="65" t="s">
        <v>6</v>
      </c>
      <c r="L47" s="65" t="s">
        <v>6</v>
      </c>
      <c r="M47" s="65" t="s">
        <v>6</v>
      </c>
      <c r="N47" s="65" t="s">
        <v>6</v>
      </c>
      <c r="O47" s="65" t="s">
        <v>6</v>
      </c>
    </row>
    <row r="48" spans="1:15">
      <c r="A48" s="66" t="s">
        <v>142</v>
      </c>
      <c r="B48" s="66" t="s">
        <v>143</v>
      </c>
      <c r="C48" s="64" t="str">
        <f t="shared" si="1"/>
        <v>18</v>
      </c>
      <c r="D48" s="65" t="s">
        <v>144</v>
      </c>
      <c r="E48" s="65"/>
      <c r="F48" s="63" t="s">
        <v>6</v>
      </c>
      <c r="G48" s="65"/>
      <c r="H48" s="65"/>
      <c r="I48" s="65"/>
      <c r="J48" s="65"/>
      <c r="K48" s="65"/>
      <c r="L48" s="65" t="s">
        <v>6</v>
      </c>
      <c r="M48" s="65" t="s">
        <v>6</v>
      </c>
      <c r="N48" s="65" t="s">
        <v>6</v>
      </c>
      <c r="O48" s="65" t="s">
        <v>6</v>
      </c>
    </row>
    <row r="49" spans="1:15">
      <c r="A49" s="64" t="s">
        <v>145</v>
      </c>
      <c r="B49" s="64" t="s">
        <v>146</v>
      </c>
      <c r="C49" s="64" t="str">
        <f t="shared" si="1"/>
        <v>17</v>
      </c>
      <c r="D49" s="63" t="s">
        <v>147</v>
      </c>
      <c r="E49" s="63" t="s">
        <v>6</v>
      </c>
      <c r="F49" s="63" t="s">
        <v>6</v>
      </c>
      <c r="G49" s="63"/>
      <c r="H49" s="63"/>
      <c r="I49" s="63"/>
      <c r="J49" s="63"/>
      <c r="K49" s="63"/>
      <c r="L49" s="63"/>
      <c r="M49" s="63"/>
      <c r="N49" s="63" t="s">
        <v>6</v>
      </c>
      <c r="O49" s="63"/>
    </row>
    <row r="50" spans="1:15" ht="15.75">
      <c r="A50" s="66" t="s">
        <v>148</v>
      </c>
      <c r="B50" s="66" t="s">
        <v>149</v>
      </c>
      <c r="C50" s="64" t="str">
        <f t="shared" si="1"/>
        <v>18</v>
      </c>
      <c r="D50" s="65" t="s">
        <v>150</v>
      </c>
      <c r="E50" s="65"/>
      <c r="F50" s="65" t="s">
        <v>6</v>
      </c>
      <c r="G50" s="65"/>
      <c r="H50" s="65"/>
      <c r="I50" s="65"/>
      <c r="J50" s="65"/>
      <c r="K50" s="65"/>
      <c r="L50" s="65" t="s">
        <v>6</v>
      </c>
      <c r="M50" s="65" t="s">
        <v>6</v>
      </c>
      <c r="N50" s="65"/>
      <c r="O50" s="67"/>
    </row>
    <row r="51" spans="1:15">
      <c r="A51" s="66" t="s">
        <v>151</v>
      </c>
      <c r="B51" s="64" t="s">
        <v>152</v>
      </c>
      <c r="C51" s="64" t="str">
        <f t="shared" si="1"/>
        <v>17</v>
      </c>
      <c r="D51" s="63" t="s">
        <v>153</v>
      </c>
      <c r="E51" s="63"/>
      <c r="F51" s="63" t="s">
        <v>6</v>
      </c>
      <c r="G51" s="63"/>
      <c r="H51" s="63"/>
      <c r="I51" s="63"/>
      <c r="J51" s="63"/>
      <c r="K51" s="63"/>
      <c r="L51" s="63"/>
      <c r="M51" s="63"/>
      <c r="N51" s="63"/>
      <c r="O51" s="63"/>
    </row>
    <row r="52" spans="1:15">
      <c r="A52" s="64" t="s">
        <v>154</v>
      </c>
      <c r="B52" s="64" t="s">
        <v>155</v>
      </c>
      <c r="C52" s="64" t="str">
        <f t="shared" si="1"/>
        <v>16</v>
      </c>
      <c r="D52" s="63" t="s">
        <v>156</v>
      </c>
      <c r="E52" s="63" t="s">
        <v>6</v>
      </c>
      <c r="F52" s="63" t="s">
        <v>6</v>
      </c>
      <c r="G52" s="63"/>
      <c r="H52" s="63"/>
      <c r="I52" s="63"/>
      <c r="J52" s="63"/>
      <c r="K52" s="63"/>
      <c r="L52" s="63"/>
      <c r="M52" s="63" t="s">
        <v>6</v>
      </c>
      <c r="N52" s="63"/>
      <c r="O52" s="63"/>
    </row>
    <row r="53" spans="1:15">
      <c r="A53" s="66" t="s">
        <v>157</v>
      </c>
      <c r="B53" s="66" t="s">
        <v>158</v>
      </c>
      <c r="C53" s="64" t="str">
        <f t="shared" si="1"/>
        <v>18</v>
      </c>
      <c r="D53" s="65" t="s">
        <v>159</v>
      </c>
      <c r="E53" s="65" t="s">
        <v>6</v>
      </c>
      <c r="F53" s="65" t="s">
        <v>6</v>
      </c>
      <c r="G53" s="65"/>
      <c r="H53" s="65"/>
      <c r="I53" s="65"/>
      <c r="J53" s="65"/>
      <c r="K53" s="65"/>
      <c r="L53" s="65"/>
      <c r="M53" s="65" t="s">
        <v>6</v>
      </c>
      <c r="N53" s="65" t="s">
        <v>6</v>
      </c>
      <c r="O53" s="65" t="s">
        <v>6</v>
      </c>
    </row>
    <row r="54" spans="1:15">
      <c r="A54" s="64" t="s">
        <v>160</v>
      </c>
      <c r="B54" s="64" t="s">
        <v>161</v>
      </c>
      <c r="C54" s="64" t="str">
        <f t="shared" si="1"/>
        <v>17</v>
      </c>
      <c r="D54" s="63" t="s">
        <v>162</v>
      </c>
      <c r="E54" s="63" t="s">
        <v>6</v>
      </c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1:15">
      <c r="A55" s="66" t="s">
        <v>163</v>
      </c>
      <c r="B55" s="66" t="s">
        <v>164</v>
      </c>
      <c r="C55" s="64" t="str">
        <f t="shared" si="1"/>
        <v>16</v>
      </c>
      <c r="D55" s="65" t="s">
        <v>165</v>
      </c>
      <c r="E55" s="65" t="s">
        <v>6</v>
      </c>
      <c r="F55" s="65" t="s">
        <v>6</v>
      </c>
      <c r="G55" s="65"/>
      <c r="H55" s="65"/>
      <c r="I55" s="65"/>
      <c r="J55" s="65"/>
      <c r="K55" s="65"/>
      <c r="L55" s="65"/>
      <c r="M55" s="63"/>
      <c r="N55" s="65" t="s">
        <v>6</v>
      </c>
      <c r="O55" s="65"/>
    </row>
    <row r="56" spans="1:15" ht="15.75">
      <c r="A56" s="66" t="s">
        <v>166</v>
      </c>
      <c r="B56" s="66" t="s">
        <v>167</v>
      </c>
      <c r="C56" s="64" t="str">
        <f t="shared" si="1"/>
        <v>15</v>
      </c>
      <c r="D56" s="65" t="s">
        <v>168</v>
      </c>
      <c r="E56" s="65"/>
      <c r="F56" s="65"/>
      <c r="G56" s="65"/>
      <c r="H56" s="65"/>
      <c r="I56" s="65"/>
      <c r="J56" s="65"/>
      <c r="K56" s="63"/>
      <c r="L56" s="65" t="s">
        <v>6</v>
      </c>
      <c r="M56" s="63"/>
      <c r="N56" s="65"/>
      <c r="O56" s="67"/>
    </row>
    <row r="57" spans="1:15" ht="15.75">
      <c r="A57" s="66" t="s">
        <v>169</v>
      </c>
      <c r="B57" s="66" t="s">
        <v>170</v>
      </c>
      <c r="C57" s="64" t="str">
        <f t="shared" si="1"/>
        <v>15</v>
      </c>
      <c r="D57" s="65" t="s">
        <v>171</v>
      </c>
      <c r="E57" s="65" t="s">
        <v>6</v>
      </c>
      <c r="F57" s="65" t="s">
        <v>6</v>
      </c>
      <c r="G57" s="65"/>
      <c r="H57" s="65"/>
      <c r="I57" s="65"/>
      <c r="J57" s="65"/>
      <c r="K57" s="65" t="s">
        <v>6</v>
      </c>
      <c r="L57" s="65" t="s">
        <v>6</v>
      </c>
      <c r="M57" s="63"/>
      <c r="N57" s="65" t="s">
        <v>6</v>
      </c>
      <c r="O57" s="67" t="s">
        <v>6</v>
      </c>
    </row>
    <row r="58" spans="1:15">
      <c r="A58" s="66" t="s">
        <v>172</v>
      </c>
      <c r="B58" s="66" t="s">
        <v>173</v>
      </c>
      <c r="C58" s="64" t="str">
        <f t="shared" si="1"/>
        <v>18</v>
      </c>
      <c r="D58" s="65" t="s">
        <v>174</v>
      </c>
      <c r="E58" s="65"/>
      <c r="F58" s="65"/>
      <c r="G58" s="65"/>
      <c r="H58" s="65"/>
      <c r="I58" s="65"/>
      <c r="J58" s="65"/>
      <c r="K58" s="65"/>
      <c r="L58" s="65"/>
      <c r="M58" s="63" t="s">
        <v>6</v>
      </c>
      <c r="N58" s="65"/>
      <c r="O58" s="65"/>
    </row>
    <row r="59" spans="1:15">
      <c r="A59" s="66" t="s">
        <v>175</v>
      </c>
      <c r="B59" s="66" t="s">
        <v>176</v>
      </c>
      <c r="C59" s="64" t="str">
        <f t="shared" si="1"/>
        <v>18</v>
      </c>
      <c r="D59" s="65" t="s">
        <v>177</v>
      </c>
      <c r="E59" s="65" t="s">
        <v>6</v>
      </c>
      <c r="F59" s="65" t="s">
        <v>6</v>
      </c>
      <c r="G59" s="65"/>
      <c r="H59" s="65"/>
      <c r="I59" s="65"/>
      <c r="J59" s="65"/>
      <c r="K59" s="65"/>
      <c r="L59" s="65" t="s">
        <v>6</v>
      </c>
      <c r="M59" s="63" t="s">
        <v>6</v>
      </c>
      <c r="N59" s="65" t="s">
        <v>6</v>
      </c>
      <c r="O59" s="65" t="s">
        <v>6</v>
      </c>
    </row>
    <row r="60" spans="1:15">
      <c r="A60" s="66" t="s">
        <v>178</v>
      </c>
      <c r="B60" s="66" t="s">
        <v>179</v>
      </c>
      <c r="C60" s="64" t="str">
        <f t="shared" si="1"/>
        <v>17</v>
      </c>
      <c r="D60" s="65" t="s">
        <v>180</v>
      </c>
      <c r="E60" s="65"/>
      <c r="F60" s="65" t="s">
        <v>6</v>
      </c>
      <c r="G60" s="65"/>
      <c r="H60" s="65"/>
      <c r="I60" s="65"/>
      <c r="J60" s="65"/>
      <c r="K60" s="65"/>
      <c r="L60" s="65"/>
      <c r="M60" s="63"/>
      <c r="N60" s="65"/>
      <c r="O60" s="65" t="s">
        <v>6</v>
      </c>
    </row>
    <row r="61" spans="1:15">
      <c r="A61" s="66" t="s">
        <v>181</v>
      </c>
      <c r="B61" s="66" t="s">
        <v>182</v>
      </c>
      <c r="C61" s="64" t="str">
        <f t="shared" si="1"/>
        <v>17</v>
      </c>
      <c r="D61" s="65" t="s">
        <v>183</v>
      </c>
      <c r="E61" s="65" t="s">
        <v>6</v>
      </c>
      <c r="F61" s="65" t="s">
        <v>6</v>
      </c>
      <c r="G61" s="65"/>
      <c r="H61" s="65"/>
      <c r="I61" s="65"/>
      <c r="J61" s="65"/>
      <c r="K61" s="65"/>
      <c r="L61" s="65" t="s">
        <v>6</v>
      </c>
      <c r="M61" s="63"/>
      <c r="N61" s="65" t="s">
        <v>6</v>
      </c>
      <c r="O61" s="65" t="s">
        <v>6</v>
      </c>
    </row>
    <row r="62" spans="1:15">
      <c r="A62" s="66" t="s">
        <v>184</v>
      </c>
      <c r="B62" s="66" t="s">
        <v>185</v>
      </c>
      <c r="C62" s="64" t="str">
        <f t="shared" si="1"/>
        <v>16</v>
      </c>
      <c r="D62" s="65" t="s">
        <v>186</v>
      </c>
      <c r="E62" s="65"/>
      <c r="F62" s="65"/>
      <c r="G62" s="65"/>
      <c r="H62" s="65"/>
      <c r="I62" s="65"/>
      <c r="J62" s="65"/>
      <c r="K62" s="65"/>
      <c r="L62" s="65" t="s">
        <v>6</v>
      </c>
      <c r="M62" s="63" t="s">
        <v>6</v>
      </c>
      <c r="N62" s="65" t="s">
        <v>6</v>
      </c>
      <c r="O62" s="65" t="s">
        <v>6</v>
      </c>
    </row>
    <row r="63" spans="1:15">
      <c r="A63" s="66" t="s">
        <v>187</v>
      </c>
      <c r="B63" s="66" t="s">
        <v>188</v>
      </c>
      <c r="C63" s="64" t="str">
        <f t="shared" si="1"/>
        <v>17</v>
      </c>
      <c r="D63" s="65" t="s">
        <v>189</v>
      </c>
      <c r="E63" s="65" t="s">
        <v>6</v>
      </c>
      <c r="F63" s="65" t="s">
        <v>6</v>
      </c>
      <c r="G63" s="65"/>
      <c r="H63" s="65"/>
      <c r="I63" s="65"/>
      <c r="J63" s="65"/>
      <c r="K63" s="65"/>
      <c r="L63" s="65"/>
      <c r="M63" s="63"/>
      <c r="N63" s="65" t="s">
        <v>6</v>
      </c>
      <c r="O63" s="65" t="s">
        <v>6</v>
      </c>
    </row>
    <row r="64" spans="1:15">
      <c r="A64" s="66" t="s">
        <v>190</v>
      </c>
      <c r="B64" s="66" t="s">
        <v>191</v>
      </c>
      <c r="C64" s="64" t="str">
        <f t="shared" ref="C64:C122" si="2">MID(A64,9,2)</f>
        <v>16</v>
      </c>
      <c r="D64" s="65" t="s">
        <v>192</v>
      </c>
      <c r="E64" s="65" t="s">
        <v>6</v>
      </c>
      <c r="F64" s="65" t="s">
        <v>6</v>
      </c>
      <c r="G64" s="65"/>
      <c r="H64" s="65"/>
      <c r="I64" s="65"/>
      <c r="J64" s="65"/>
      <c r="K64" s="65"/>
      <c r="L64" s="65"/>
      <c r="M64" s="63" t="s">
        <v>6</v>
      </c>
      <c r="N64" s="65"/>
      <c r="O64" s="63" t="s">
        <v>6</v>
      </c>
    </row>
    <row r="65" spans="1:15">
      <c r="A65" s="66" t="s">
        <v>193</v>
      </c>
      <c r="B65" s="66" t="s">
        <v>194</v>
      </c>
      <c r="C65" s="64" t="str">
        <f t="shared" si="2"/>
        <v>18</v>
      </c>
      <c r="D65" s="65" t="s">
        <v>195</v>
      </c>
      <c r="E65" s="65" t="s">
        <v>6</v>
      </c>
      <c r="F65" s="65" t="s">
        <v>6</v>
      </c>
      <c r="G65" s="65"/>
      <c r="H65" s="65"/>
      <c r="I65" s="65"/>
      <c r="J65" s="65"/>
      <c r="K65" s="65"/>
      <c r="L65" s="65" t="s">
        <v>6</v>
      </c>
      <c r="M65" s="65" t="s">
        <v>6</v>
      </c>
      <c r="N65" s="65" t="s">
        <v>6</v>
      </c>
      <c r="O65" s="65" t="s">
        <v>6</v>
      </c>
    </row>
    <row r="66" spans="1:15">
      <c r="A66" s="66" t="s">
        <v>196</v>
      </c>
      <c r="B66" s="66" t="s">
        <v>197</v>
      </c>
      <c r="C66" s="64" t="str">
        <f t="shared" si="2"/>
        <v>18</v>
      </c>
      <c r="D66" s="65" t="s">
        <v>198</v>
      </c>
      <c r="E66" s="65" t="s">
        <v>6</v>
      </c>
      <c r="F66" s="65" t="s">
        <v>6</v>
      </c>
      <c r="G66" s="65"/>
      <c r="H66" s="65"/>
      <c r="I66" s="65"/>
      <c r="J66" s="65"/>
      <c r="K66" s="65"/>
      <c r="L66" s="65" t="s">
        <v>6</v>
      </c>
      <c r="M66" s="63" t="s">
        <v>6</v>
      </c>
      <c r="N66" s="65" t="s">
        <v>6</v>
      </c>
      <c r="O66" s="65" t="s">
        <v>6</v>
      </c>
    </row>
    <row r="67" spans="1:15">
      <c r="A67" s="66" t="s">
        <v>199</v>
      </c>
      <c r="B67" s="66" t="s">
        <v>200</v>
      </c>
      <c r="C67" s="64" t="str">
        <f t="shared" si="2"/>
        <v>17</v>
      </c>
      <c r="D67" s="65" t="s">
        <v>201</v>
      </c>
      <c r="E67" s="65" t="s">
        <v>6</v>
      </c>
      <c r="F67" s="65" t="s">
        <v>6</v>
      </c>
      <c r="G67" s="65"/>
      <c r="H67" s="65"/>
      <c r="I67" s="65"/>
      <c r="J67" s="65"/>
      <c r="K67" s="65"/>
      <c r="L67" s="65"/>
      <c r="M67" s="63"/>
      <c r="N67" s="65" t="s">
        <v>6</v>
      </c>
      <c r="O67" s="65" t="s">
        <v>6</v>
      </c>
    </row>
    <row r="68" spans="1:15" ht="15.75">
      <c r="A68" s="66" t="s">
        <v>202</v>
      </c>
      <c r="B68" s="66" t="s">
        <v>203</v>
      </c>
      <c r="C68" s="64" t="str">
        <f t="shared" si="2"/>
        <v>15</v>
      </c>
      <c r="D68" s="65" t="s">
        <v>204</v>
      </c>
      <c r="E68" s="65" t="s">
        <v>6</v>
      </c>
      <c r="F68" s="65" t="s">
        <v>6</v>
      </c>
      <c r="G68" s="65"/>
      <c r="H68" s="65"/>
      <c r="I68" s="65"/>
      <c r="J68" s="65"/>
      <c r="K68" s="65" t="s">
        <v>6</v>
      </c>
      <c r="L68" s="65" t="s">
        <v>6</v>
      </c>
      <c r="M68" s="63"/>
      <c r="N68" s="65"/>
      <c r="O68" s="67" t="s">
        <v>6</v>
      </c>
    </row>
    <row r="69" spans="1:15">
      <c r="A69" s="66" t="s">
        <v>205</v>
      </c>
      <c r="B69" s="66" t="s">
        <v>206</v>
      </c>
      <c r="C69" s="64" t="str">
        <f t="shared" si="2"/>
        <v>17</v>
      </c>
      <c r="D69" s="65" t="s">
        <v>207</v>
      </c>
      <c r="E69" s="65"/>
      <c r="F69" s="63" t="s">
        <v>6</v>
      </c>
      <c r="G69" s="65"/>
      <c r="H69" s="65"/>
      <c r="I69" s="65"/>
      <c r="J69" s="65"/>
      <c r="K69" s="65"/>
      <c r="L69" s="65"/>
      <c r="M69" s="63"/>
      <c r="N69" s="65"/>
      <c r="O69" s="63" t="s">
        <v>6</v>
      </c>
    </row>
    <row r="70" spans="1:15">
      <c r="A70" s="66" t="s">
        <v>208</v>
      </c>
      <c r="B70" s="66" t="s">
        <v>209</v>
      </c>
      <c r="C70" s="64" t="str">
        <f t="shared" si="2"/>
        <v>17</v>
      </c>
      <c r="D70" s="65" t="s">
        <v>210</v>
      </c>
      <c r="E70" s="65" t="s">
        <v>6</v>
      </c>
      <c r="F70" s="65" t="s">
        <v>6</v>
      </c>
      <c r="G70" s="65"/>
      <c r="H70" s="65"/>
      <c r="I70" s="65"/>
      <c r="J70" s="65"/>
      <c r="K70" s="65" t="s">
        <v>6</v>
      </c>
      <c r="L70" s="65" t="s">
        <v>6</v>
      </c>
      <c r="M70" s="63"/>
      <c r="N70" s="65" t="s">
        <v>6</v>
      </c>
      <c r="O70" s="65" t="s">
        <v>6</v>
      </c>
    </row>
    <row r="71" spans="1:15">
      <c r="A71" s="66" t="s">
        <v>211</v>
      </c>
      <c r="B71" s="66" t="s">
        <v>212</v>
      </c>
      <c r="C71" s="64" t="str">
        <f t="shared" si="2"/>
        <v>16</v>
      </c>
      <c r="D71" s="65" t="s">
        <v>213</v>
      </c>
      <c r="E71" s="65"/>
      <c r="F71" s="65"/>
      <c r="G71" s="65"/>
      <c r="H71" s="65"/>
      <c r="I71" s="65"/>
      <c r="J71" s="65"/>
      <c r="K71" s="65"/>
      <c r="L71" s="65"/>
      <c r="M71" s="63" t="s">
        <v>6</v>
      </c>
      <c r="N71" s="65"/>
      <c r="O71" s="63" t="s">
        <v>6</v>
      </c>
    </row>
    <row r="72" spans="1:15" ht="15.75">
      <c r="A72" s="66" t="s">
        <v>214</v>
      </c>
      <c r="B72" s="66" t="s">
        <v>215</v>
      </c>
      <c r="C72" s="64" t="str">
        <f t="shared" si="2"/>
        <v>15</v>
      </c>
      <c r="D72" s="65" t="s">
        <v>216</v>
      </c>
      <c r="E72" s="65" t="s">
        <v>6</v>
      </c>
      <c r="F72" s="65" t="s">
        <v>6</v>
      </c>
      <c r="G72" s="65"/>
      <c r="H72" s="65"/>
      <c r="I72" s="65"/>
      <c r="J72" s="65"/>
      <c r="K72" s="65" t="s">
        <v>6</v>
      </c>
      <c r="L72" s="67" t="s">
        <v>6</v>
      </c>
      <c r="M72" s="63"/>
      <c r="N72" s="65"/>
      <c r="O72" s="67" t="s">
        <v>6</v>
      </c>
    </row>
    <row r="73" spans="1:15">
      <c r="A73" s="64" t="s">
        <v>217</v>
      </c>
      <c r="B73" s="64" t="s">
        <v>218</v>
      </c>
      <c r="C73" s="64" t="str">
        <f t="shared" si="2"/>
        <v>18</v>
      </c>
      <c r="D73" s="63" t="s">
        <v>219</v>
      </c>
      <c r="E73" s="63"/>
      <c r="F73" s="63" t="s">
        <v>6</v>
      </c>
      <c r="G73" s="63"/>
      <c r="H73" s="63"/>
      <c r="I73" s="63"/>
      <c r="J73" s="63"/>
      <c r="K73" s="63"/>
      <c r="L73" s="65" t="s">
        <v>6</v>
      </c>
      <c r="M73" s="65" t="s">
        <v>6</v>
      </c>
      <c r="N73" s="65"/>
      <c r="O73" s="65" t="s">
        <v>6</v>
      </c>
    </row>
    <row r="74" spans="1:15">
      <c r="A74" s="66" t="s">
        <v>220</v>
      </c>
      <c r="B74" s="66" t="s">
        <v>221</v>
      </c>
      <c r="C74" s="64" t="str">
        <f t="shared" si="2"/>
        <v>17</v>
      </c>
      <c r="D74" s="65" t="s">
        <v>222</v>
      </c>
      <c r="E74" s="65" t="s">
        <v>6</v>
      </c>
      <c r="F74" s="65" t="s">
        <v>6</v>
      </c>
      <c r="G74" s="65"/>
      <c r="H74" s="65"/>
      <c r="I74" s="65"/>
      <c r="J74" s="65"/>
      <c r="K74" s="65"/>
      <c r="L74" s="65"/>
      <c r="M74" s="63"/>
      <c r="N74" s="65"/>
      <c r="O74" s="65"/>
    </row>
    <row r="75" spans="1:15">
      <c r="A75" s="66" t="s">
        <v>223</v>
      </c>
      <c r="B75" s="66" t="s">
        <v>224</v>
      </c>
      <c r="C75" s="64" t="str">
        <f t="shared" si="2"/>
        <v>16</v>
      </c>
      <c r="D75" s="65" t="s">
        <v>225</v>
      </c>
      <c r="E75" s="65" t="s">
        <v>6</v>
      </c>
      <c r="F75" s="65" t="s">
        <v>6</v>
      </c>
      <c r="G75" s="65"/>
      <c r="H75" s="65"/>
      <c r="I75" s="65"/>
      <c r="J75" s="65"/>
      <c r="K75" s="65"/>
      <c r="L75" s="63" t="s">
        <v>6</v>
      </c>
      <c r="M75" s="63" t="s">
        <v>6</v>
      </c>
      <c r="N75" s="65" t="s">
        <v>6</v>
      </c>
      <c r="O75" s="65" t="s">
        <v>6</v>
      </c>
    </row>
    <row r="76" spans="1:15">
      <c r="A76" s="66" t="s">
        <v>226</v>
      </c>
      <c r="B76" s="66" t="s">
        <v>227</v>
      </c>
      <c r="C76" s="64" t="str">
        <f t="shared" si="2"/>
        <v>17</v>
      </c>
      <c r="D76" s="65" t="s">
        <v>228</v>
      </c>
      <c r="E76" s="65" t="s">
        <v>6</v>
      </c>
      <c r="F76" s="65" t="s">
        <v>6</v>
      </c>
      <c r="G76" s="65"/>
      <c r="H76" s="65"/>
      <c r="I76" s="65"/>
      <c r="J76" s="65"/>
      <c r="K76" s="65"/>
      <c r="L76" s="65" t="s">
        <v>6</v>
      </c>
      <c r="M76" s="63"/>
      <c r="N76" s="65" t="s">
        <v>6</v>
      </c>
      <c r="O76" s="65" t="s">
        <v>6</v>
      </c>
    </row>
    <row r="77" spans="1:15">
      <c r="A77" s="64" t="s">
        <v>229</v>
      </c>
      <c r="B77" s="64" t="s">
        <v>230</v>
      </c>
      <c r="C77" s="64" t="str">
        <f t="shared" si="2"/>
        <v>16</v>
      </c>
      <c r="D77" s="63" t="s">
        <v>231</v>
      </c>
      <c r="E77" s="63" t="s">
        <v>6</v>
      </c>
      <c r="F77" s="63"/>
      <c r="G77" s="63"/>
      <c r="H77" s="63" t="s">
        <v>6</v>
      </c>
      <c r="I77" s="63"/>
      <c r="J77" s="63"/>
      <c r="K77" s="63"/>
      <c r="L77" s="65" t="s">
        <v>6</v>
      </c>
      <c r="M77" s="63" t="s">
        <v>6</v>
      </c>
      <c r="N77" s="65" t="s">
        <v>6</v>
      </c>
      <c r="O77" s="65" t="s">
        <v>6</v>
      </c>
    </row>
    <row r="78" spans="1:15">
      <c r="A78" s="64" t="s">
        <v>232</v>
      </c>
      <c r="B78" s="64" t="s">
        <v>233</v>
      </c>
      <c r="C78" s="64" t="str">
        <f t="shared" si="2"/>
        <v>17</v>
      </c>
      <c r="D78" s="63" t="s">
        <v>234</v>
      </c>
      <c r="E78" s="63" t="s">
        <v>6</v>
      </c>
      <c r="F78" s="63" t="s">
        <v>6</v>
      </c>
      <c r="G78" s="63"/>
      <c r="H78" s="63"/>
      <c r="I78" s="63"/>
      <c r="J78" s="63"/>
      <c r="K78" s="63"/>
      <c r="L78" s="63"/>
      <c r="M78" s="63"/>
      <c r="N78" s="63" t="s">
        <v>6</v>
      </c>
      <c r="O78" s="65" t="s">
        <v>6</v>
      </c>
    </row>
    <row r="79" spans="1:15">
      <c r="A79" s="64" t="s">
        <v>235</v>
      </c>
      <c r="B79" s="64" t="s">
        <v>236</v>
      </c>
      <c r="C79" s="64" t="str">
        <f t="shared" si="2"/>
        <v>17</v>
      </c>
      <c r="D79" s="63" t="s">
        <v>237</v>
      </c>
      <c r="E79" s="63" t="s">
        <v>6</v>
      </c>
      <c r="F79" s="63" t="s">
        <v>6</v>
      </c>
      <c r="G79" s="63"/>
      <c r="H79" s="63"/>
      <c r="I79" s="63"/>
      <c r="J79" s="63"/>
      <c r="K79" s="63"/>
      <c r="L79" s="63"/>
      <c r="M79" s="63"/>
      <c r="N79" s="65" t="s">
        <v>6</v>
      </c>
      <c r="O79" s="65" t="s">
        <v>6</v>
      </c>
    </row>
    <row r="80" spans="1:15">
      <c r="A80" s="66" t="s">
        <v>238</v>
      </c>
      <c r="B80" s="66" t="s">
        <v>239</v>
      </c>
      <c r="C80" s="64" t="str">
        <f t="shared" si="2"/>
        <v>17</v>
      </c>
      <c r="D80" s="65" t="s">
        <v>240</v>
      </c>
      <c r="E80" s="65" t="s">
        <v>6</v>
      </c>
      <c r="F80" s="65" t="s">
        <v>6</v>
      </c>
      <c r="G80" s="65"/>
      <c r="H80" s="65"/>
      <c r="I80" s="65"/>
      <c r="J80" s="65"/>
      <c r="K80" s="65"/>
      <c r="L80" s="65"/>
      <c r="M80" s="63"/>
      <c r="N80" s="65" t="s">
        <v>6</v>
      </c>
      <c r="O80" s="65" t="s">
        <v>6</v>
      </c>
    </row>
    <row r="81" spans="1:15">
      <c r="A81" s="66" t="s">
        <v>241</v>
      </c>
      <c r="B81" s="66" t="s">
        <v>242</v>
      </c>
      <c r="C81" s="64" t="str">
        <f t="shared" si="2"/>
        <v>16</v>
      </c>
      <c r="D81" s="65" t="s">
        <v>243</v>
      </c>
      <c r="E81" s="65"/>
      <c r="F81" s="65"/>
      <c r="G81" s="65"/>
      <c r="H81" s="65"/>
      <c r="I81" s="65"/>
      <c r="J81" s="65"/>
      <c r="K81" s="65"/>
      <c r="L81" s="65" t="s">
        <v>6</v>
      </c>
      <c r="M81" s="63"/>
      <c r="N81" s="65"/>
      <c r="O81" s="65" t="s">
        <v>6</v>
      </c>
    </row>
    <row r="82" spans="1:15">
      <c r="A82" s="66" t="s">
        <v>244</v>
      </c>
      <c r="B82" s="66" t="s">
        <v>245</v>
      </c>
      <c r="C82" s="64" t="str">
        <f t="shared" si="2"/>
        <v>17</v>
      </c>
      <c r="D82" s="65" t="s">
        <v>246</v>
      </c>
      <c r="E82" s="65" t="s">
        <v>6</v>
      </c>
      <c r="F82" s="65" t="s">
        <v>6</v>
      </c>
      <c r="G82" s="65"/>
      <c r="H82" s="65"/>
      <c r="I82" s="65"/>
      <c r="J82" s="65"/>
      <c r="K82" s="65"/>
      <c r="L82" s="65" t="s">
        <v>6</v>
      </c>
      <c r="M82" s="63"/>
      <c r="N82" s="65" t="s">
        <v>6</v>
      </c>
      <c r="O82" s="65"/>
    </row>
    <row r="83" spans="1:15">
      <c r="A83" s="64" t="s">
        <v>247</v>
      </c>
      <c r="B83" s="64" t="s">
        <v>248</v>
      </c>
      <c r="C83" s="64" t="str">
        <f t="shared" si="2"/>
        <v>17</v>
      </c>
      <c r="D83" s="63" t="s">
        <v>249</v>
      </c>
      <c r="E83" s="63"/>
      <c r="F83" s="65" t="s">
        <v>6</v>
      </c>
      <c r="G83" s="63"/>
      <c r="H83" s="63"/>
      <c r="I83" s="63"/>
      <c r="J83" s="63"/>
      <c r="K83" s="63"/>
      <c r="L83" s="63"/>
      <c r="M83" s="63"/>
      <c r="N83" s="65" t="s">
        <v>6</v>
      </c>
      <c r="O83" s="63"/>
    </row>
    <row r="84" spans="1:15">
      <c r="A84" s="66" t="s">
        <v>250</v>
      </c>
      <c r="B84" s="66" t="s">
        <v>251</v>
      </c>
      <c r="C84" s="64" t="str">
        <f t="shared" si="2"/>
        <v>16</v>
      </c>
      <c r="D84" s="65" t="s">
        <v>252</v>
      </c>
      <c r="E84" s="65" t="s">
        <v>6</v>
      </c>
      <c r="F84" s="65" t="s">
        <v>6</v>
      </c>
      <c r="G84" s="65"/>
      <c r="H84" s="65"/>
      <c r="I84" s="65"/>
      <c r="J84" s="65"/>
      <c r="K84" s="65"/>
      <c r="L84" s="65"/>
      <c r="M84" s="63" t="s">
        <v>6</v>
      </c>
      <c r="N84" s="65"/>
      <c r="O84" s="65" t="s">
        <v>6</v>
      </c>
    </row>
    <row r="85" spans="1:15" ht="15.75">
      <c r="A85" s="64" t="s">
        <v>253</v>
      </c>
      <c r="B85" s="64" t="s">
        <v>254</v>
      </c>
      <c r="C85" s="64" t="str">
        <f t="shared" si="2"/>
        <v>15</v>
      </c>
      <c r="D85" s="63" t="s">
        <v>255</v>
      </c>
      <c r="E85" s="63"/>
      <c r="F85" s="63"/>
      <c r="G85" s="65" t="s">
        <v>6</v>
      </c>
      <c r="H85" s="63"/>
      <c r="I85" s="63"/>
      <c r="J85" s="65"/>
      <c r="K85" s="65" t="s">
        <v>6</v>
      </c>
      <c r="L85" s="65" t="s">
        <v>6</v>
      </c>
      <c r="M85" s="63"/>
      <c r="N85" s="67"/>
      <c r="O85" s="65" t="s">
        <v>6</v>
      </c>
    </row>
    <row r="86" spans="1:15">
      <c r="A86" s="66" t="s">
        <v>256</v>
      </c>
      <c r="B86" s="66" t="s">
        <v>257</v>
      </c>
      <c r="C86" s="64" t="str">
        <f t="shared" si="2"/>
        <v>17</v>
      </c>
      <c r="D86" s="65" t="s">
        <v>258</v>
      </c>
      <c r="E86" s="65" t="s">
        <v>6</v>
      </c>
      <c r="F86" s="65" t="s">
        <v>6</v>
      </c>
      <c r="G86" s="65"/>
      <c r="H86" s="65"/>
      <c r="I86" s="65"/>
      <c r="J86" s="65"/>
      <c r="K86" s="65"/>
      <c r="L86" s="65" t="s">
        <v>6</v>
      </c>
      <c r="M86" s="63" t="s">
        <v>6</v>
      </c>
      <c r="N86" s="65"/>
      <c r="O86" s="65"/>
    </row>
    <row r="87" spans="1:15">
      <c r="A87" s="64" t="s">
        <v>259</v>
      </c>
      <c r="B87" s="64" t="s">
        <v>260</v>
      </c>
      <c r="C87" s="64" t="str">
        <f t="shared" si="2"/>
        <v>17</v>
      </c>
      <c r="D87" s="65" t="s">
        <v>261</v>
      </c>
      <c r="E87" s="63"/>
      <c r="F87" s="65" t="s">
        <v>6</v>
      </c>
      <c r="G87" s="63"/>
      <c r="H87" s="63"/>
      <c r="I87" s="63"/>
      <c r="J87" s="63"/>
      <c r="K87" s="63"/>
      <c r="L87" s="63"/>
      <c r="M87" s="63"/>
      <c r="N87" s="65"/>
      <c r="O87" s="65"/>
    </row>
    <row r="88" spans="1:15">
      <c r="A88" s="66" t="s">
        <v>262</v>
      </c>
      <c r="B88" s="66" t="s">
        <v>263</v>
      </c>
      <c r="C88" s="64" t="str">
        <f t="shared" si="2"/>
        <v>16</v>
      </c>
      <c r="D88" s="65" t="s">
        <v>264</v>
      </c>
      <c r="E88" s="65" t="s">
        <v>6</v>
      </c>
      <c r="F88" s="65" t="s">
        <v>6</v>
      </c>
      <c r="G88" s="65"/>
      <c r="H88" s="65"/>
      <c r="I88" s="65"/>
      <c r="J88" s="65"/>
      <c r="K88" s="65"/>
      <c r="L88" s="65"/>
      <c r="M88" s="63" t="s">
        <v>6</v>
      </c>
      <c r="N88" s="65"/>
      <c r="O88" s="63" t="s">
        <v>6</v>
      </c>
    </row>
    <row r="89" spans="1:15">
      <c r="A89" s="66" t="s">
        <v>265</v>
      </c>
      <c r="B89" s="66" t="s">
        <v>266</v>
      </c>
      <c r="C89" s="64" t="str">
        <f t="shared" si="2"/>
        <v>17</v>
      </c>
      <c r="D89" s="65" t="s">
        <v>267</v>
      </c>
      <c r="E89" s="65" t="s">
        <v>6</v>
      </c>
      <c r="F89" s="65" t="s">
        <v>6</v>
      </c>
      <c r="G89" s="65"/>
      <c r="H89" s="65"/>
      <c r="I89" s="65"/>
      <c r="J89" s="65"/>
      <c r="K89" s="65"/>
      <c r="L89" s="65" t="s">
        <v>6</v>
      </c>
      <c r="M89" s="63"/>
      <c r="N89" s="65" t="s">
        <v>6</v>
      </c>
      <c r="O89" s="65" t="s">
        <v>6</v>
      </c>
    </row>
    <row r="90" spans="1:15">
      <c r="A90" s="64" t="s">
        <v>268</v>
      </c>
      <c r="B90" s="64" t="s">
        <v>269</v>
      </c>
      <c r="C90" s="64" t="str">
        <f t="shared" si="2"/>
        <v>17</v>
      </c>
      <c r="D90" s="63" t="s">
        <v>270</v>
      </c>
      <c r="E90" s="63"/>
      <c r="F90" s="65" t="s">
        <v>6</v>
      </c>
      <c r="G90" s="63"/>
      <c r="H90" s="63"/>
      <c r="I90" s="63"/>
      <c r="J90" s="63"/>
      <c r="K90" s="63"/>
      <c r="L90" s="63"/>
      <c r="M90" s="63"/>
      <c r="N90" s="65"/>
      <c r="O90" s="65" t="s">
        <v>6</v>
      </c>
    </row>
    <row r="91" spans="1:15">
      <c r="A91" s="64" t="s">
        <v>271</v>
      </c>
      <c r="B91" s="64" t="s">
        <v>272</v>
      </c>
      <c r="C91" s="64" t="str">
        <f t="shared" si="2"/>
        <v>17</v>
      </c>
      <c r="D91" s="63" t="s">
        <v>273</v>
      </c>
      <c r="E91" s="63"/>
      <c r="F91" s="65" t="s">
        <v>6</v>
      </c>
      <c r="G91" s="63"/>
      <c r="H91" s="63"/>
      <c r="I91" s="63"/>
      <c r="J91" s="63"/>
      <c r="K91" s="63"/>
      <c r="L91" s="63"/>
      <c r="M91" s="63"/>
      <c r="N91" s="65"/>
      <c r="O91" s="63"/>
    </row>
    <row r="92" spans="1:15">
      <c r="A92" s="66" t="s">
        <v>274</v>
      </c>
      <c r="B92" s="66" t="s">
        <v>275</v>
      </c>
      <c r="C92" s="64" t="str">
        <f t="shared" si="2"/>
        <v>16</v>
      </c>
      <c r="D92" s="65" t="s">
        <v>276</v>
      </c>
      <c r="E92" s="65" t="s">
        <v>6</v>
      </c>
      <c r="F92" s="65" t="s">
        <v>6</v>
      </c>
      <c r="G92" s="65"/>
      <c r="H92" s="65"/>
      <c r="I92" s="65"/>
      <c r="J92" s="65"/>
      <c r="K92" s="65"/>
      <c r="L92" s="65"/>
      <c r="M92" s="63" t="s">
        <v>6</v>
      </c>
      <c r="N92" s="65"/>
      <c r="O92" s="65"/>
    </row>
    <row r="93" spans="1:15">
      <c r="A93" s="66" t="s">
        <v>277</v>
      </c>
      <c r="B93" s="66" t="s">
        <v>278</v>
      </c>
      <c r="C93" s="64" t="str">
        <f t="shared" si="2"/>
        <v>15</v>
      </c>
      <c r="D93" s="65" t="s">
        <v>279</v>
      </c>
      <c r="E93" s="65" t="s">
        <v>6</v>
      </c>
      <c r="F93" s="65" t="s">
        <v>6</v>
      </c>
      <c r="G93" s="65"/>
      <c r="H93" s="65" t="s">
        <v>6</v>
      </c>
      <c r="I93" s="65"/>
      <c r="J93" s="65"/>
      <c r="K93" s="65" t="s">
        <v>6</v>
      </c>
      <c r="L93" s="65" t="s">
        <v>6</v>
      </c>
      <c r="M93" s="63"/>
      <c r="N93" s="65" t="s">
        <v>6</v>
      </c>
      <c r="O93" s="65" t="s">
        <v>6</v>
      </c>
    </row>
    <row r="94" spans="1:15">
      <c r="A94" s="64" t="s">
        <v>280</v>
      </c>
      <c r="B94" s="64" t="s">
        <v>281</v>
      </c>
      <c r="C94" s="64" t="str">
        <f t="shared" si="2"/>
        <v>17</v>
      </c>
      <c r="D94" s="63" t="s">
        <v>282</v>
      </c>
      <c r="E94" s="63" t="s">
        <v>6</v>
      </c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 spans="1:15">
      <c r="A95" s="64" t="s">
        <v>283</v>
      </c>
      <c r="B95" s="64" t="s">
        <v>284</v>
      </c>
      <c r="C95" s="64" t="str">
        <f t="shared" si="2"/>
        <v>16</v>
      </c>
      <c r="D95" s="63" t="s">
        <v>285</v>
      </c>
      <c r="E95" s="63" t="s">
        <v>6</v>
      </c>
      <c r="F95" s="63"/>
      <c r="G95" s="63"/>
      <c r="H95" s="63"/>
      <c r="I95" s="63"/>
      <c r="J95" s="63"/>
      <c r="K95" s="63"/>
      <c r="L95" s="65" t="s">
        <v>6</v>
      </c>
      <c r="M95" s="63" t="s">
        <v>6</v>
      </c>
      <c r="N95" s="63" t="s">
        <v>6</v>
      </c>
      <c r="O95" s="63" t="s">
        <v>6</v>
      </c>
    </row>
    <row r="96" spans="1:15" ht="15.75">
      <c r="A96" s="66" t="s">
        <v>286</v>
      </c>
      <c r="B96" s="66" t="s">
        <v>287</v>
      </c>
      <c r="C96" s="64" t="str">
        <f t="shared" si="2"/>
        <v>15</v>
      </c>
      <c r="D96" s="65" t="s">
        <v>288</v>
      </c>
      <c r="E96" s="65"/>
      <c r="F96" s="65"/>
      <c r="G96" s="65"/>
      <c r="H96" s="65"/>
      <c r="I96" s="65"/>
      <c r="J96" s="65"/>
      <c r="K96" s="65" t="s">
        <v>6</v>
      </c>
      <c r="L96" s="65" t="s">
        <v>6</v>
      </c>
      <c r="M96" s="63" t="s">
        <v>6</v>
      </c>
      <c r="N96" s="65" t="s">
        <v>6</v>
      </c>
      <c r="O96" s="67" t="s">
        <v>6</v>
      </c>
    </row>
    <row r="97" spans="1:15">
      <c r="A97" s="66" t="s">
        <v>289</v>
      </c>
      <c r="B97" s="66" t="s">
        <v>290</v>
      </c>
      <c r="C97" s="64" t="str">
        <f t="shared" si="2"/>
        <v>17</v>
      </c>
      <c r="D97" s="65" t="s">
        <v>291</v>
      </c>
      <c r="E97" s="65" t="s">
        <v>6</v>
      </c>
      <c r="F97" s="65" t="s">
        <v>6</v>
      </c>
      <c r="G97" s="65"/>
      <c r="H97" s="65"/>
      <c r="I97" s="65"/>
      <c r="J97" s="65"/>
      <c r="K97" s="65"/>
      <c r="L97" s="65"/>
      <c r="M97" s="63"/>
      <c r="N97" s="65"/>
      <c r="O97" s="63" t="s">
        <v>6</v>
      </c>
    </row>
    <row r="98" spans="1:15">
      <c r="A98" s="66" t="s">
        <v>292</v>
      </c>
      <c r="B98" s="66" t="s">
        <v>293</v>
      </c>
      <c r="C98" s="64" t="str">
        <f t="shared" si="2"/>
        <v>15</v>
      </c>
      <c r="D98" s="65" t="s">
        <v>294</v>
      </c>
      <c r="E98" s="65" t="s">
        <v>6</v>
      </c>
      <c r="F98" s="65" t="s">
        <v>6</v>
      </c>
      <c r="G98" s="65" t="s">
        <v>6</v>
      </c>
      <c r="H98" s="65"/>
      <c r="I98" s="65"/>
      <c r="J98" s="65"/>
      <c r="K98" s="65" t="s">
        <v>6</v>
      </c>
      <c r="L98" s="65" t="s">
        <v>6</v>
      </c>
      <c r="M98" s="63"/>
      <c r="N98" s="65" t="s">
        <v>6</v>
      </c>
      <c r="O98" s="65" t="s">
        <v>6</v>
      </c>
    </row>
    <row r="99" spans="1:15">
      <c r="A99" s="66" t="s">
        <v>295</v>
      </c>
      <c r="B99" s="66" t="s">
        <v>296</v>
      </c>
      <c r="C99" s="64" t="str">
        <f t="shared" si="2"/>
        <v>16</v>
      </c>
      <c r="D99" s="65" t="s">
        <v>297</v>
      </c>
      <c r="E99" s="65" t="s">
        <v>6</v>
      </c>
      <c r="F99" s="65" t="s">
        <v>6</v>
      </c>
      <c r="G99" s="65"/>
      <c r="H99" s="65"/>
      <c r="I99" s="65"/>
      <c r="J99" s="65"/>
      <c r="K99" s="65"/>
      <c r="L99" s="65" t="s">
        <v>6</v>
      </c>
      <c r="M99" s="63" t="s">
        <v>6</v>
      </c>
      <c r="N99" s="65" t="s">
        <v>6</v>
      </c>
      <c r="O99" s="65"/>
    </row>
    <row r="100" spans="1:15">
      <c r="A100" s="66" t="s">
        <v>298</v>
      </c>
      <c r="B100" s="66" t="s">
        <v>299</v>
      </c>
      <c r="C100" s="64" t="str">
        <f t="shared" si="2"/>
        <v>16</v>
      </c>
      <c r="D100" s="65" t="s">
        <v>300</v>
      </c>
      <c r="E100" s="65" t="s">
        <v>6</v>
      </c>
      <c r="F100" s="65" t="s">
        <v>6</v>
      </c>
      <c r="G100" s="65"/>
      <c r="H100" s="65"/>
      <c r="I100" s="65"/>
      <c r="J100" s="65"/>
      <c r="K100" s="65"/>
      <c r="L100" s="65" t="s">
        <v>6</v>
      </c>
      <c r="M100" s="63" t="s">
        <v>6</v>
      </c>
      <c r="N100" s="65"/>
      <c r="O100" s="65"/>
    </row>
    <row r="101" spans="1:15">
      <c r="A101" s="64" t="s">
        <v>301</v>
      </c>
      <c r="B101" s="64" t="s">
        <v>302</v>
      </c>
      <c r="C101" s="64" t="str">
        <f t="shared" si="2"/>
        <v>16</v>
      </c>
      <c r="D101" s="63" t="s">
        <v>303</v>
      </c>
      <c r="E101" s="63" t="s">
        <v>6</v>
      </c>
      <c r="F101" s="63" t="s">
        <v>6</v>
      </c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1:15">
      <c r="A102" s="66" t="s">
        <v>304</v>
      </c>
      <c r="B102" s="66" t="s">
        <v>305</v>
      </c>
      <c r="C102" s="64" t="str">
        <f t="shared" si="2"/>
        <v>16</v>
      </c>
      <c r="D102" s="65" t="s">
        <v>306</v>
      </c>
      <c r="E102" s="65" t="s">
        <v>6</v>
      </c>
      <c r="F102" s="65" t="s">
        <v>6</v>
      </c>
      <c r="G102" s="65" t="s">
        <v>6</v>
      </c>
      <c r="H102" s="65"/>
      <c r="I102" s="65"/>
      <c r="J102" s="65"/>
      <c r="K102" s="65"/>
      <c r="L102" s="63" t="s">
        <v>6</v>
      </c>
      <c r="M102" s="63" t="s">
        <v>6</v>
      </c>
      <c r="N102" s="65" t="s">
        <v>6</v>
      </c>
      <c r="O102" s="65" t="s">
        <v>6</v>
      </c>
    </row>
    <row r="103" spans="1:15" ht="15.75">
      <c r="A103" s="66" t="s">
        <v>307</v>
      </c>
      <c r="B103" s="66" t="s">
        <v>308</v>
      </c>
      <c r="C103" s="64" t="str">
        <f t="shared" si="2"/>
        <v>15</v>
      </c>
      <c r="D103" s="65" t="s">
        <v>309</v>
      </c>
      <c r="E103" s="65" t="s">
        <v>6</v>
      </c>
      <c r="F103" s="65" t="s">
        <v>6</v>
      </c>
      <c r="G103" s="65"/>
      <c r="H103" s="65"/>
      <c r="I103" s="65"/>
      <c r="J103" s="65"/>
      <c r="K103" s="65" t="s">
        <v>6</v>
      </c>
      <c r="L103" s="65" t="s">
        <v>6</v>
      </c>
      <c r="M103" s="63"/>
      <c r="N103" s="65"/>
      <c r="O103" s="67" t="s">
        <v>6</v>
      </c>
    </row>
    <row r="104" spans="1:15">
      <c r="A104" s="66" t="s">
        <v>310</v>
      </c>
      <c r="B104" s="66" t="s">
        <v>311</v>
      </c>
      <c r="C104" s="64" t="str">
        <f t="shared" si="2"/>
        <v>16</v>
      </c>
      <c r="D104" s="65" t="s">
        <v>312</v>
      </c>
      <c r="E104" s="65" t="s">
        <v>6</v>
      </c>
      <c r="F104" s="65" t="s">
        <v>6</v>
      </c>
      <c r="G104" s="65"/>
      <c r="H104" s="65"/>
      <c r="I104" s="65"/>
      <c r="J104" s="65"/>
      <c r="K104" s="65"/>
      <c r="L104" s="65"/>
      <c r="M104" s="63" t="s">
        <v>6</v>
      </c>
      <c r="N104" s="65"/>
      <c r="O104" s="65"/>
    </row>
    <row r="105" spans="1:15">
      <c r="A105" s="66" t="s">
        <v>313</v>
      </c>
      <c r="B105" s="66" t="s">
        <v>314</v>
      </c>
      <c r="C105" s="64" t="str">
        <f t="shared" si="2"/>
        <v>16</v>
      </c>
      <c r="D105" s="65" t="s">
        <v>315</v>
      </c>
      <c r="E105" s="65"/>
      <c r="F105" s="65" t="s">
        <v>6</v>
      </c>
      <c r="G105" s="65"/>
      <c r="H105" s="65"/>
      <c r="I105" s="65"/>
      <c r="J105" s="65"/>
      <c r="K105" s="65"/>
      <c r="L105" s="65" t="s">
        <v>6</v>
      </c>
      <c r="M105" s="63" t="s">
        <v>6</v>
      </c>
      <c r="N105" s="65" t="s">
        <v>6</v>
      </c>
      <c r="O105" s="65" t="s">
        <v>6</v>
      </c>
    </row>
    <row r="106" spans="1:15">
      <c r="A106" s="66" t="s">
        <v>316</v>
      </c>
      <c r="B106" s="66" t="s">
        <v>317</v>
      </c>
      <c r="C106" s="64" t="str">
        <f t="shared" si="2"/>
        <v>15</v>
      </c>
      <c r="D106" s="65" t="s">
        <v>318</v>
      </c>
      <c r="E106" s="65" t="s">
        <v>6</v>
      </c>
      <c r="F106" s="65" t="s">
        <v>6</v>
      </c>
      <c r="G106" s="65"/>
      <c r="H106" s="65"/>
      <c r="I106" s="65"/>
      <c r="J106" s="65"/>
      <c r="K106" s="65"/>
      <c r="L106" s="65"/>
      <c r="M106" s="63"/>
      <c r="N106" s="65"/>
      <c r="O106" s="65"/>
    </row>
    <row r="107" spans="1:15" ht="15.75">
      <c r="A107" s="66" t="s">
        <v>319</v>
      </c>
      <c r="B107" s="66" t="s">
        <v>320</v>
      </c>
      <c r="C107" s="64" t="str">
        <f t="shared" si="2"/>
        <v>17</v>
      </c>
      <c r="D107" s="65" t="s">
        <v>321</v>
      </c>
      <c r="E107" s="65" t="s">
        <v>6</v>
      </c>
      <c r="F107" s="65" t="s">
        <v>6</v>
      </c>
      <c r="G107" s="65"/>
      <c r="H107" s="65"/>
      <c r="I107" s="65"/>
      <c r="J107" s="65"/>
      <c r="K107" s="65"/>
      <c r="L107" s="65" t="s">
        <v>6</v>
      </c>
      <c r="M107" s="63"/>
      <c r="N107" s="65" t="s">
        <v>6</v>
      </c>
      <c r="O107" s="67" t="s">
        <v>6</v>
      </c>
    </row>
    <row r="108" spans="1:15">
      <c r="A108" s="66" t="s">
        <v>322</v>
      </c>
      <c r="B108" s="66" t="s">
        <v>323</v>
      </c>
      <c r="C108" s="64" t="str">
        <f t="shared" si="2"/>
        <v>16</v>
      </c>
      <c r="D108" s="65" t="s">
        <v>324</v>
      </c>
      <c r="E108" s="65" t="s">
        <v>6</v>
      </c>
      <c r="F108" s="65" t="s">
        <v>6</v>
      </c>
      <c r="G108" s="65"/>
      <c r="H108" s="65"/>
      <c r="I108" s="65"/>
      <c r="J108" s="65"/>
      <c r="K108" s="65"/>
      <c r="L108" s="65"/>
      <c r="M108" s="63"/>
      <c r="N108" s="65"/>
      <c r="O108" s="65"/>
    </row>
    <row r="109" spans="1:15">
      <c r="A109" s="66" t="s">
        <v>325</v>
      </c>
      <c r="B109" s="66" t="s">
        <v>326</v>
      </c>
      <c r="C109" s="64" t="str">
        <f t="shared" si="2"/>
        <v>16</v>
      </c>
      <c r="D109" s="65" t="s">
        <v>327</v>
      </c>
      <c r="E109" s="65"/>
      <c r="F109" s="65" t="s">
        <v>6</v>
      </c>
      <c r="G109" s="65"/>
      <c r="H109" s="65"/>
      <c r="I109" s="65"/>
      <c r="J109" s="65"/>
      <c r="K109" s="65"/>
      <c r="L109" s="65"/>
      <c r="M109" s="63" t="s">
        <v>6</v>
      </c>
      <c r="N109" s="65"/>
      <c r="O109" s="65"/>
    </row>
    <row r="110" spans="1:15">
      <c r="A110" s="66" t="s">
        <v>328</v>
      </c>
      <c r="B110" s="66" t="s">
        <v>329</v>
      </c>
      <c r="C110" s="64" t="str">
        <f t="shared" si="2"/>
        <v>15</v>
      </c>
      <c r="D110" s="65" t="s">
        <v>255</v>
      </c>
      <c r="E110" s="65" t="s">
        <v>6</v>
      </c>
      <c r="F110" s="65" t="s">
        <v>6</v>
      </c>
      <c r="G110" s="65" t="s">
        <v>6</v>
      </c>
      <c r="H110" s="65" t="s">
        <v>6</v>
      </c>
      <c r="I110" s="65"/>
      <c r="J110" s="65"/>
      <c r="K110" s="65" t="s">
        <v>6</v>
      </c>
      <c r="L110" s="65" t="s">
        <v>6</v>
      </c>
      <c r="M110" s="63"/>
      <c r="N110" s="65" t="s">
        <v>6</v>
      </c>
      <c r="O110" s="65" t="s">
        <v>6</v>
      </c>
    </row>
    <row r="111" spans="1:15">
      <c r="A111" s="66" t="s">
        <v>330</v>
      </c>
      <c r="B111" s="66" t="s">
        <v>331</v>
      </c>
      <c r="C111" s="64" t="str">
        <f t="shared" si="2"/>
        <v>16</v>
      </c>
      <c r="D111" s="65" t="s">
        <v>332</v>
      </c>
      <c r="E111" s="65" t="s">
        <v>6</v>
      </c>
      <c r="F111" s="65" t="s">
        <v>6</v>
      </c>
      <c r="G111" s="65" t="s">
        <v>6</v>
      </c>
      <c r="H111" s="65" t="s">
        <v>6</v>
      </c>
      <c r="I111" s="65"/>
      <c r="J111" s="65"/>
      <c r="K111" s="65"/>
      <c r="L111" s="65" t="s">
        <v>6</v>
      </c>
      <c r="M111" s="63" t="s">
        <v>6</v>
      </c>
      <c r="N111" s="65" t="s">
        <v>6</v>
      </c>
      <c r="O111" s="65"/>
    </row>
    <row r="112" spans="1:15" ht="15.75">
      <c r="A112" s="66" t="s">
        <v>333</v>
      </c>
      <c r="B112" s="66" t="s">
        <v>334</v>
      </c>
      <c r="C112" s="64" t="str">
        <f t="shared" si="2"/>
        <v>15</v>
      </c>
      <c r="D112" s="65" t="s">
        <v>335</v>
      </c>
      <c r="E112" s="65" t="s">
        <v>6</v>
      </c>
      <c r="F112" s="65" t="s">
        <v>6</v>
      </c>
      <c r="G112" s="65"/>
      <c r="H112" s="65"/>
      <c r="I112" s="65"/>
      <c r="J112" s="65"/>
      <c r="K112" s="65" t="s">
        <v>6</v>
      </c>
      <c r="L112" s="65"/>
      <c r="M112" s="63"/>
      <c r="N112" s="65"/>
      <c r="O112" s="67" t="s">
        <v>6</v>
      </c>
    </row>
    <row r="113" spans="1:15">
      <c r="A113" s="64" t="s">
        <v>336</v>
      </c>
      <c r="B113" s="64" t="s">
        <v>337</v>
      </c>
      <c r="C113" s="64" t="str">
        <f t="shared" si="2"/>
        <v>16</v>
      </c>
      <c r="D113" s="63" t="s">
        <v>338</v>
      </c>
      <c r="E113" s="63" t="s">
        <v>6</v>
      </c>
      <c r="F113" s="63" t="s">
        <v>6</v>
      </c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1:15">
      <c r="A114" s="66" t="s">
        <v>339</v>
      </c>
      <c r="B114" s="66" t="s">
        <v>340</v>
      </c>
      <c r="C114" s="64" t="str">
        <f t="shared" si="2"/>
        <v>15</v>
      </c>
      <c r="D114" s="65" t="s">
        <v>341</v>
      </c>
      <c r="E114" s="65" t="s">
        <v>6</v>
      </c>
      <c r="F114" s="65" t="s">
        <v>6</v>
      </c>
      <c r="G114" s="65"/>
      <c r="H114" s="65"/>
      <c r="I114" s="65"/>
      <c r="J114" s="65"/>
      <c r="K114" s="65" t="s">
        <v>6</v>
      </c>
      <c r="L114" s="65" t="s">
        <v>6</v>
      </c>
      <c r="M114" s="63"/>
      <c r="N114" s="65" t="s">
        <v>6</v>
      </c>
      <c r="O114" s="65"/>
    </row>
    <row r="115" spans="1:15">
      <c r="A115" s="66" t="s">
        <v>342</v>
      </c>
      <c r="B115" s="66" t="s">
        <v>343</v>
      </c>
      <c r="C115" s="64" t="str">
        <f t="shared" si="2"/>
        <v>16</v>
      </c>
      <c r="D115" s="65" t="s">
        <v>344</v>
      </c>
      <c r="E115" s="65" t="s">
        <v>6</v>
      </c>
      <c r="F115" s="65" t="s">
        <v>6</v>
      </c>
      <c r="G115" s="65" t="s">
        <v>6</v>
      </c>
      <c r="H115" s="65"/>
      <c r="I115" s="65"/>
      <c r="J115" s="65"/>
      <c r="K115" s="65"/>
      <c r="L115" s="65" t="s">
        <v>6</v>
      </c>
      <c r="M115" s="63" t="s">
        <v>6</v>
      </c>
      <c r="N115" s="65" t="s">
        <v>6</v>
      </c>
      <c r="O115" s="65"/>
    </row>
    <row r="116" spans="1:15">
      <c r="A116" s="66" t="s">
        <v>345</v>
      </c>
      <c r="B116" s="66" t="s">
        <v>346</v>
      </c>
      <c r="C116" s="64" t="str">
        <f t="shared" si="2"/>
        <v>15</v>
      </c>
      <c r="D116" s="65" t="s">
        <v>347</v>
      </c>
      <c r="E116" s="65" t="s">
        <v>6</v>
      </c>
      <c r="F116" s="65" t="s">
        <v>6</v>
      </c>
      <c r="G116" s="65"/>
      <c r="H116" s="65"/>
      <c r="I116" s="65"/>
      <c r="J116" s="65"/>
      <c r="K116" s="65"/>
      <c r="L116" s="65" t="s">
        <v>6</v>
      </c>
      <c r="M116" s="63"/>
      <c r="N116" s="65" t="s">
        <v>6</v>
      </c>
      <c r="O116" s="65"/>
    </row>
    <row r="117" spans="1:15">
      <c r="A117" s="66" t="s">
        <v>348</v>
      </c>
      <c r="B117" s="66" t="s">
        <v>349</v>
      </c>
      <c r="C117" s="64" t="str">
        <f t="shared" si="2"/>
        <v>16</v>
      </c>
      <c r="D117" s="65" t="s">
        <v>350</v>
      </c>
      <c r="E117" s="65" t="s">
        <v>6</v>
      </c>
      <c r="F117" s="65" t="s">
        <v>6</v>
      </c>
      <c r="G117" s="65"/>
      <c r="H117" s="65"/>
      <c r="I117" s="65"/>
      <c r="J117" s="65"/>
      <c r="K117" s="65"/>
      <c r="L117" s="63" t="s">
        <v>6</v>
      </c>
      <c r="M117" s="63" t="s">
        <v>6</v>
      </c>
      <c r="N117" s="63"/>
      <c r="O117" s="63" t="s">
        <v>6</v>
      </c>
    </row>
    <row r="118" spans="1:15">
      <c r="A118" s="66" t="s">
        <v>351</v>
      </c>
      <c r="B118" s="66" t="s">
        <v>352</v>
      </c>
      <c r="C118" s="64" t="str">
        <f t="shared" si="2"/>
        <v>15</v>
      </c>
      <c r="D118" s="65" t="s">
        <v>353</v>
      </c>
      <c r="E118" s="65"/>
      <c r="F118" s="65" t="s">
        <v>6</v>
      </c>
      <c r="G118" s="65" t="s">
        <v>6</v>
      </c>
      <c r="H118" s="65"/>
      <c r="I118" s="65"/>
      <c r="J118" s="65"/>
      <c r="K118" s="65" t="s">
        <v>6</v>
      </c>
      <c r="L118" s="65" t="s">
        <v>6</v>
      </c>
      <c r="M118" s="63"/>
      <c r="N118" s="65" t="s">
        <v>6</v>
      </c>
      <c r="O118" s="65" t="s">
        <v>6</v>
      </c>
    </row>
    <row r="119" spans="1:15">
      <c r="A119" s="64" t="s">
        <v>354</v>
      </c>
      <c r="B119" s="64" t="s">
        <v>355</v>
      </c>
      <c r="C119" s="64" t="str">
        <f t="shared" si="2"/>
        <v>15</v>
      </c>
      <c r="D119" s="63" t="s">
        <v>356</v>
      </c>
      <c r="E119" s="63" t="s">
        <v>6</v>
      </c>
      <c r="F119" s="63" t="s">
        <v>6</v>
      </c>
      <c r="G119" s="63"/>
      <c r="H119" s="63"/>
      <c r="I119" s="63"/>
      <c r="J119" s="63"/>
      <c r="K119" s="63"/>
      <c r="L119" s="63"/>
      <c r="M119" s="63"/>
      <c r="N119" s="63"/>
      <c r="O119" s="65"/>
    </row>
    <row r="120" spans="1:15">
      <c r="A120" s="66" t="s">
        <v>357</v>
      </c>
      <c r="B120" s="66" t="s">
        <v>358</v>
      </c>
      <c r="C120" s="64" t="str">
        <f t="shared" si="2"/>
        <v>15</v>
      </c>
      <c r="D120" s="65" t="s">
        <v>359</v>
      </c>
      <c r="E120" s="65"/>
      <c r="F120" s="65"/>
      <c r="G120" s="65" t="s">
        <v>6</v>
      </c>
      <c r="H120" s="65" t="s">
        <v>6</v>
      </c>
      <c r="I120" s="65"/>
      <c r="J120" s="65"/>
      <c r="K120" s="65"/>
      <c r="L120" s="65" t="s">
        <v>6</v>
      </c>
      <c r="M120" s="63"/>
      <c r="N120" s="65"/>
      <c r="O120" s="65"/>
    </row>
    <row r="121" spans="1:15">
      <c r="A121" s="66" t="s">
        <v>360</v>
      </c>
      <c r="B121" s="66" t="s">
        <v>361</v>
      </c>
      <c r="C121" s="64" t="str">
        <f t="shared" si="2"/>
        <v>15</v>
      </c>
      <c r="D121" s="65" t="s">
        <v>362</v>
      </c>
      <c r="E121" s="65" t="s">
        <v>6</v>
      </c>
      <c r="F121" s="65" t="s">
        <v>6</v>
      </c>
      <c r="G121" s="65" t="s">
        <v>6</v>
      </c>
      <c r="H121" s="65"/>
      <c r="I121" s="65"/>
      <c r="J121" s="65"/>
      <c r="K121" s="65"/>
      <c r="L121" s="65" t="s">
        <v>6</v>
      </c>
      <c r="M121" s="63"/>
      <c r="N121" s="65" t="s">
        <v>6</v>
      </c>
      <c r="O121" s="65"/>
    </row>
    <row r="122" spans="1:15">
      <c r="A122" s="66" t="s">
        <v>363</v>
      </c>
      <c r="B122" s="66" t="s">
        <v>364</v>
      </c>
      <c r="C122" s="64" t="str">
        <f t="shared" si="2"/>
        <v>15</v>
      </c>
      <c r="D122" s="65" t="s">
        <v>365</v>
      </c>
      <c r="E122" s="65" t="s">
        <v>6</v>
      </c>
      <c r="F122" s="65" t="s">
        <v>6</v>
      </c>
      <c r="G122" s="65" t="s">
        <v>6</v>
      </c>
      <c r="H122" s="65"/>
      <c r="I122" s="65"/>
      <c r="J122" s="65"/>
      <c r="K122" s="65"/>
      <c r="L122" s="65" t="s">
        <v>6</v>
      </c>
      <c r="M122" s="63"/>
      <c r="N122" s="65" t="s">
        <v>6</v>
      </c>
      <c r="O122" s="65"/>
    </row>
    <row r="123" spans="1:15">
      <c r="A123" s="64" t="s">
        <v>366</v>
      </c>
      <c r="B123" s="64" t="s">
        <v>367</v>
      </c>
      <c r="C123" s="64" t="str">
        <f t="shared" ref="C123:C178" si="3">MID(A123,9,2)</f>
        <v>16</v>
      </c>
      <c r="D123" s="63" t="s">
        <v>368</v>
      </c>
      <c r="E123" s="63"/>
      <c r="F123" s="63" t="s">
        <v>6</v>
      </c>
      <c r="G123" s="63"/>
      <c r="H123" s="63"/>
      <c r="I123" s="63"/>
      <c r="J123" s="63"/>
      <c r="K123" s="63"/>
      <c r="L123" s="65"/>
      <c r="M123" s="63"/>
      <c r="N123" s="63"/>
      <c r="O123" s="63" t="s">
        <v>6</v>
      </c>
    </row>
    <row r="124" spans="1:15">
      <c r="A124" s="66" t="s">
        <v>369</v>
      </c>
      <c r="B124" s="66" t="s">
        <v>370</v>
      </c>
      <c r="C124" s="64" t="str">
        <f t="shared" si="3"/>
        <v>15</v>
      </c>
      <c r="D124" s="65" t="s">
        <v>371</v>
      </c>
      <c r="E124" s="65" t="s">
        <v>6</v>
      </c>
      <c r="F124" s="65" t="s">
        <v>6</v>
      </c>
      <c r="G124" s="65" t="s">
        <v>6</v>
      </c>
      <c r="H124" s="65"/>
      <c r="I124" s="65"/>
      <c r="J124" s="65"/>
      <c r="K124" s="65"/>
      <c r="L124" s="65" t="s">
        <v>6</v>
      </c>
      <c r="M124" s="63"/>
      <c r="N124" s="65" t="s">
        <v>6</v>
      </c>
      <c r="O124" s="65"/>
    </row>
    <row r="125" spans="1:15">
      <c r="A125" s="66" t="s">
        <v>372</v>
      </c>
      <c r="B125" s="66" t="s">
        <v>373</v>
      </c>
      <c r="C125" s="64" t="str">
        <f t="shared" si="3"/>
        <v>15</v>
      </c>
      <c r="D125" s="65" t="s">
        <v>374</v>
      </c>
      <c r="E125" s="65"/>
      <c r="F125" s="65"/>
      <c r="G125" s="65" t="s">
        <v>6</v>
      </c>
      <c r="H125" s="65"/>
      <c r="I125" s="65"/>
      <c r="J125" s="65"/>
      <c r="K125" s="65"/>
      <c r="L125" s="65" t="s">
        <v>6</v>
      </c>
      <c r="M125" s="63"/>
      <c r="N125" s="65"/>
      <c r="O125" s="65"/>
    </row>
    <row r="126" spans="1:15">
      <c r="A126" s="66" t="s">
        <v>375</v>
      </c>
      <c r="B126" s="66" t="s">
        <v>376</v>
      </c>
      <c r="C126" s="64" t="str">
        <f t="shared" si="3"/>
        <v>14</v>
      </c>
      <c r="D126" s="65" t="s">
        <v>377</v>
      </c>
      <c r="E126" s="65"/>
      <c r="F126" s="65" t="s">
        <v>6</v>
      </c>
      <c r="G126" s="65" t="s">
        <v>6</v>
      </c>
      <c r="H126" s="65"/>
      <c r="I126" s="65"/>
      <c r="J126" s="65"/>
      <c r="K126" s="65"/>
      <c r="L126" s="65"/>
      <c r="M126" s="63"/>
      <c r="N126" s="65"/>
      <c r="O126" s="65"/>
    </row>
    <row r="127" spans="1:15">
      <c r="A127" s="66" t="s">
        <v>378</v>
      </c>
      <c r="B127" s="66" t="s">
        <v>379</v>
      </c>
      <c r="C127" s="64" t="str">
        <f t="shared" si="3"/>
        <v>15</v>
      </c>
      <c r="D127" s="65" t="s">
        <v>380</v>
      </c>
      <c r="E127" s="65" t="s">
        <v>6</v>
      </c>
      <c r="F127" s="65" t="s">
        <v>6</v>
      </c>
      <c r="G127" s="65"/>
      <c r="H127" s="65"/>
      <c r="I127" s="65"/>
      <c r="J127" s="65"/>
      <c r="K127" s="65"/>
      <c r="L127" s="65" t="s">
        <v>6</v>
      </c>
      <c r="M127" s="63"/>
      <c r="N127" s="65" t="s">
        <v>6</v>
      </c>
      <c r="O127" s="65"/>
    </row>
    <row r="128" spans="1:15">
      <c r="A128" s="66" t="s">
        <v>381</v>
      </c>
      <c r="B128" s="66" t="s">
        <v>382</v>
      </c>
      <c r="C128" s="64" t="str">
        <f t="shared" si="3"/>
        <v>15</v>
      </c>
      <c r="D128" s="65" t="s">
        <v>383</v>
      </c>
      <c r="E128" s="65" t="s">
        <v>6</v>
      </c>
      <c r="F128" s="65" t="s">
        <v>6</v>
      </c>
      <c r="G128" s="65" t="s">
        <v>6</v>
      </c>
      <c r="H128" s="65"/>
      <c r="I128" s="65"/>
      <c r="J128" s="65"/>
      <c r="K128" s="65"/>
      <c r="L128" s="65"/>
      <c r="M128" s="63"/>
      <c r="N128" s="65"/>
      <c r="O128" s="65"/>
    </row>
    <row r="129" spans="1:15">
      <c r="A129" s="66" t="s">
        <v>384</v>
      </c>
      <c r="B129" s="66" t="s">
        <v>385</v>
      </c>
      <c r="C129" s="64" t="str">
        <f t="shared" si="3"/>
        <v>15</v>
      </c>
      <c r="D129" s="65" t="s">
        <v>386</v>
      </c>
      <c r="E129" s="65" t="s">
        <v>6</v>
      </c>
      <c r="F129" s="65" t="s">
        <v>6</v>
      </c>
      <c r="G129" s="65" t="s">
        <v>6</v>
      </c>
      <c r="H129" s="65"/>
      <c r="I129" s="65"/>
      <c r="J129" s="65"/>
      <c r="K129" s="65"/>
      <c r="L129" s="65" t="s">
        <v>6</v>
      </c>
      <c r="M129" s="63"/>
      <c r="N129" s="65" t="s">
        <v>6</v>
      </c>
      <c r="O129" s="65"/>
    </row>
    <row r="130" spans="1:15">
      <c r="A130" s="66" t="s">
        <v>387</v>
      </c>
      <c r="B130" s="66" t="s">
        <v>388</v>
      </c>
      <c r="C130" s="64" t="str">
        <f t="shared" si="3"/>
        <v>15</v>
      </c>
      <c r="D130" s="65" t="s">
        <v>389</v>
      </c>
      <c r="E130" s="65"/>
      <c r="F130" s="65" t="s">
        <v>6</v>
      </c>
      <c r="G130" s="65"/>
      <c r="H130" s="65"/>
      <c r="I130" s="65"/>
      <c r="J130" s="65"/>
      <c r="K130" s="65"/>
      <c r="L130" s="65" t="s">
        <v>6</v>
      </c>
      <c r="M130" s="63"/>
      <c r="N130" s="65" t="s">
        <v>6</v>
      </c>
      <c r="O130" s="65" t="s">
        <v>6</v>
      </c>
    </row>
    <row r="131" spans="1:15" ht="15.75">
      <c r="A131" s="66" t="s">
        <v>390</v>
      </c>
      <c r="B131" s="66" t="s">
        <v>391</v>
      </c>
      <c r="C131" s="64" t="str">
        <f t="shared" si="3"/>
        <v>15</v>
      </c>
      <c r="D131" s="65" t="s">
        <v>392</v>
      </c>
      <c r="E131" s="65"/>
      <c r="F131" s="65"/>
      <c r="G131" s="65"/>
      <c r="H131" s="65"/>
      <c r="I131" s="65"/>
      <c r="J131" s="65"/>
      <c r="K131" s="65"/>
      <c r="L131" s="65" t="s">
        <v>6</v>
      </c>
      <c r="M131" s="65" t="s">
        <v>6</v>
      </c>
      <c r="N131" s="65" t="s">
        <v>6</v>
      </c>
      <c r="O131" s="67" t="s">
        <v>6</v>
      </c>
    </row>
    <row r="132" spans="1:15">
      <c r="A132" s="66" t="s">
        <v>393</v>
      </c>
      <c r="B132" s="66" t="s">
        <v>394</v>
      </c>
      <c r="C132" s="64" t="str">
        <f t="shared" si="3"/>
        <v>14</v>
      </c>
      <c r="D132" s="65" t="s">
        <v>395</v>
      </c>
      <c r="E132" s="65"/>
      <c r="F132" s="65"/>
      <c r="G132" s="65"/>
      <c r="H132" s="65" t="s">
        <v>6</v>
      </c>
      <c r="I132" s="65"/>
      <c r="J132" s="65" t="s">
        <v>6</v>
      </c>
      <c r="K132" s="65" t="s">
        <v>6</v>
      </c>
      <c r="L132" s="65" t="s">
        <v>6</v>
      </c>
      <c r="M132" s="63"/>
      <c r="N132" s="65" t="s">
        <v>6</v>
      </c>
      <c r="O132" s="65" t="s">
        <v>6</v>
      </c>
    </row>
    <row r="133" spans="1:15">
      <c r="A133" s="66" t="s">
        <v>396</v>
      </c>
      <c r="B133" s="66" t="s">
        <v>397</v>
      </c>
      <c r="C133" s="64" t="str">
        <f t="shared" si="3"/>
        <v>15</v>
      </c>
      <c r="D133" s="65" t="s">
        <v>398</v>
      </c>
      <c r="E133" s="65"/>
      <c r="F133" s="65" t="s">
        <v>6</v>
      </c>
      <c r="G133" s="65"/>
      <c r="H133" s="65"/>
      <c r="I133" s="65"/>
      <c r="J133" s="65"/>
      <c r="K133" s="65" t="s">
        <v>6</v>
      </c>
      <c r="L133" s="65" t="s">
        <v>6</v>
      </c>
      <c r="M133" s="65"/>
      <c r="N133" s="65" t="s">
        <v>6</v>
      </c>
      <c r="O133" s="65" t="s">
        <v>6</v>
      </c>
    </row>
    <row r="134" spans="1:15">
      <c r="A134" s="66" t="s">
        <v>399</v>
      </c>
      <c r="B134" s="66" t="s">
        <v>400</v>
      </c>
      <c r="C134" s="64" t="str">
        <f t="shared" si="3"/>
        <v>15</v>
      </c>
      <c r="D134" s="65" t="s">
        <v>401</v>
      </c>
      <c r="E134" s="65" t="s">
        <v>6</v>
      </c>
      <c r="F134" s="65" t="s">
        <v>6</v>
      </c>
      <c r="G134" s="65" t="s">
        <v>6</v>
      </c>
      <c r="H134" s="65" t="s">
        <v>6</v>
      </c>
      <c r="I134" s="65"/>
      <c r="J134" s="65"/>
      <c r="K134" s="65"/>
      <c r="L134" s="65" t="s">
        <v>6</v>
      </c>
      <c r="M134" s="63"/>
      <c r="N134" s="65" t="s">
        <v>6</v>
      </c>
      <c r="O134" s="65"/>
    </row>
    <row r="135" spans="1:15">
      <c r="A135" s="66" t="s">
        <v>402</v>
      </c>
      <c r="B135" s="66" t="s">
        <v>403</v>
      </c>
      <c r="C135" s="64" t="str">
        <f t="shared" si="3"/>
        <v>14</v>
      </c>
      <c r="D135" s="65" t="s">
        <v>404</v>
      </c>
      <c r="E135" s="65"/>
      <c r="F135" s="65" t="s">
        <v>6</v>
      </c>
      <c r="G135" s="65" t="s">
        <v>6</v>
      </c>
      <c r="H135" s="65" t="s">
        <v>6</v>
      </c>
      <c r="I135" s="65" t="s">
        <v>6</v>
      </c>
      <c r="J135" s="65" t="s">
        <v>6</v>
      </c>
      <c r="K135" s="65" t="s">
        <v>6</v>
      </c>
      <c r="L135" s="65"/>
      <c r="M135" s="63"/>
      <c r="N135" s="65" t="s">
        <v>6</v>
      </c>
      <c r="O135" s="65" t="s">
        <v>6</v>
      </c>
    </row>
    <row r="136" spans="1:15">
      <c r="A136" s="66" t="s">
        <v>405</v>
      </c>
      <c r="B136" s="66" t="s">
        <v>406</v>
      </c>
      <c r="C136" s="64" t="str">
        <f t="shared" si="3"/>
        <v>16</v>
      </c>
      <c r="D136" s="65" t="s">
        <v>407</v>
      </c>
      <c r="E136" s="65" t="s">
        <v>6</v>
      </c>
      <c r="F136" s="65" t="s">
        <v>6</v>
      </c>
      <c r="G136" s="65"/>
      <c r="H136" s="65" t="s">
        <v>6</v>
      </c>
      <c r="I136" s="65"/>
      <c r="J136" s="65"/>
      <c r="K136" s="65"/>
      <c r="L136" s="65"/>
      <c r="M136" s="63" t="s">
        <v>6</v>
      </c>
      <c r="N136" s="65" t="s">
        <v>6</v>
      </c>
      <c r="O136" s="65" t="s">
        <v>6</v>
      </c>
    </row>
    <row r="137" spans="1:15">
      <c r="A137" s="66" t="s">
        <v>408</v>
      </c>
      <c r="B137" s="66" t="s">
        <v>409</v>
      </c>
      <c r="C137" s="64" t="str">
        <f t="shared" si="3"/>
        <v>15</v>
      </c>
      <c r="D137" s="65" t="s">
        <v>410</v>
      </c>
      <c r="E137" s="65" t="s">
        <v>6</v>
      </c>
      <c r="F137" s="65" t="s">
        <v>6</v>
      </c>
      <c r="G137" s="65" t="s">
        <v>6</v>
      </c>
      <c r="H137" s="65" t="s">
        <v>6</v>
      </c>
      <c r="I137" s="65" t="s">
        <v>6</v>
      </c>
      <c r="J137" s="65"/>
      <c r="K137" s="65" t="s">
        <v>6</v>
      </c>
      <c r="L137" s="65" t="s">
        <v>6</v>
      </c>
      <c r="M137" s="63" t="s">
        <v>6</v>
      </c>
      <c r="N137" s="65" t="s">
        <v>6</v>
      </c>
      <c r="O137" s="65"/>
    </row>
    <row r="138" spans="1:15">
      <c r="A138" s="66" t="s">
        <v>411</v>
      </c>
      <c r="B138" s="66" t="s">
        <v>412</v>
      </c>
      <c r="C138" s="64" t="str">
        <f t="shared" si="3"/>
        <v>14</v>
      </c>
      <c r="D138" s="65" t="s">
        <v>413</v>
      </c>
      <c r="E138" s="65"/>
      <c r="F138" s="65" t="s">
        <v>6</v>
      </c>
      <c r="G138" s="65" t="s">
        <v>6</v>
      </c>
      <c r="H138" s="65" t="s">
        <v>6</v>
      </c>
      <c r="I138" s="65" t="s">
        <v>6</v>
      </c>
      <c r="J138" s="65" t="s">
        <v>6</v>
      </c>
      <c r="K138" s="65"/>
      <c r="L138" s="65" t="s">
        <v>6</v>
      </c>
      <c r="M138" s="63" t="s">
        <v>6</v>
      </c>
      <c r="N138" s="65" t="s">
        <v>6</v>
      </c>
      <c r="O138" s="65"/>
    </row>
    <row r="139" spans="1:15">
      <c r="A139" s="66" t="s">
        <v>414</v>
      </c>
      <c r="B139" s="66" t="s">
        <v>415</v>
      </c>
      <c r="C139" s="64" t="str">
        <f t="shared" si="3"/>
        <v>15</v>
      </c>
      <c r="D139" s="65" t="s">
        <v>416</v>
      </c>
      <c r="E139" s="65"/>
      <c r="F139" s="65"/>
      <c r="G139" s="65" t="s">
        <v>6</v>
      </c>
      <c r="H139" s="65"/>
      <c r="I139" s="65"/>
      <c r="J139" s="65"/>
      <c r="K139" s="65"/>
      <c r="L139" s="65"/>
      <c r="M139" s="63"/>
      <c r="N139" s="65" t="s">
        <v>6</v>
      </c>
      <c r="O139" s="65"/>
    </row>
    <row r="140" spans="1:15" ht="15.75">
      <c r="A140" s="66" t="s">
        <v>417</v>
      </c>
      <c r="B140" s="66" t="s">
        <v>418</v>
      </c>
      <c r="C140" s="64" t="str">
        <f t="shared" si="3"/>
        <v>13</v>
      </c>
      <c r="D140" s="65" t="s">
        <v>419</v>
      </c>
      <c r="E140" s="65"/>
      <c r="F140" s="65"/>
      <c r="G140" s="65" t="s">
        <v>6</v>
      </c>
      <c r="H140" s="65" t="s">
        <v>6</v>
      </c>
      <c r="I140" s="65" t="s">
        <v>6</v>
      </c>
      <c r="J140" s="65"/>
      <c r="K140" s="65"/>
      <c r="L140" s="65"/>
      <c r="M140" s="63"/>
      <c r="N140" s="67" t="s">
        <v>6</v>
      </c>
      <c r="O140" s="65"/>
    </row>
    <row r="141" spans="1:15">
      <c r="A141" s="66" t="s">
        <v>420</v>
      </c>
      <c r="B141" s="66" t="s">
        <v>421</v>
      </c>
      <c r="C141" s="64" t="str">
        <f t="shared" si="3"/>
        <v>15</v>
      </c>
      <c r="D141" s="65" t="s">
        <v>422</v>
      </c>
      <c r="E141" s="65" t="s">
        <v>6</v>
      </c>
      <c r="F141" s="65" t="s">
        <v>6</v>
      </c>
      <c r="G141" s="65" t="s">
        <v>6</v>
      </c>
      <c r="H141" s="65"/>
      <c r="I141" s="65"/>
      <c r="J141" s="65"/>
      <c r="K141" s="65"/>
      <c r="L141" s="65" t="s">
        <v>6</v>
      </c>
      <c r="M141" s="63"/>
      <c r="N141" s="65" t="s">
        <v>6</v>
      </c>
      <c r="O141" s="65"/>
    </row>
    <row r="142" spans="1:15">
      <c r="A142" s="66" t="s">
        <v>423</v>
      </c>
      <c r="B142" s="66" t="s">
        <v>424</v>
      </c>
      <c r="C142" s="64" t="str">
        <f t="shared" si="3"/>
        <v>14</v>
      </c>
      <c r="D142" s="65" t="s">
        <v>425</v>
      </c>
      <c r="E142" s="65"/>
      <c r="F142" s="65" t="s">
        <v>6</v>
      </c>
      <c r="G142" s="65" t="s">
        <v>6</v>
      </c>
      <c r="H142" s="65" t="s">
        <v>6</v>
      </c>
      <c r="I142" s="65" t="s">
        <v>6</v>
      </c>
      <c r="J142" s="65" t="s">
        <v>6</v>
      </c>
      <c r="K142" s="65"/>
      <c r="L142" s="65" t="s">
        <v>6</v>
      </c>
      <c r="M142" s="63" t="s">
        <v>6</v>
      </c>
      <c r="N142" s="65" t="s">
        <v>6</v>
      </c>
      <c r="O142" s="65"/>
    </row>
    <row r="143" spans="1:15" ht="15.75">
      <c r="A143" s="64" t="s">
        <v>426</v>
      </c>
      <c r="B143" s="64" t="s">
        <v>427</v>
      </c>
      <c r="C143" s="64" t="str">
        <f t="shared" si="3"/>
        <v>16</v>
      </c>
      <c r="D143" s="63" t="s">
        <v>428</v>
      </c>
      <c r="E143" s="63" t="s">
        <v>6</v>
      </c>
      <c r="F143" s="63" t="s">
        <v>6</v>
      </c>
      <c r="G143" s="63"/>
      <c r="H143" s="63"/>
      <c r="I143" s="63"/>
      <c r="J143" s="63"/>
      <c r="K143" s="63"/>
      <c r="L143" s="63"/>
      <c r="M143" s="63"/>
      <c r="N143" s="63"/>
      <c r="O143" s="67" t="s">
        <v>6</v>
      </c>
    </row>
    <row r="144" spans="1:15">
      <c r="A144" s="66" t="s">
        <v>429</v>
      </c>
      <c r="B144" s="66" t="s">
        <v>430</v>
      </c>
      <c r="C144" s="64" t="str">
        <f t="shared" si="3"/>
        <v>15</v>
      </c>
      <c r="D144" s="65" t="s">
        <v>431</v>
      </c>
      <c r="E144" s="65" t="s">
        <v>6</v>
      </c>
      <c r="F144" s="65" t="s">
        <v>6</v>
      </c>
      <c r="G144" s="65"/>
      <c r="H144" s="65"/>
      <c r="I144" s="65"/>
      <c r="J144" s="65"/>
      <c r="K144" s="65"/>
      <c r="L144" s="65"/>
      <c r="M144" s="63"/>
      <c r="N144" s="65" t="s">
        <v>6</v>
      </c>
      <c r="O144" s="65"/>
    </row>
    <row r="145" spans="1:15">
      <c r="A145" s="66" t="s">
        <v>432</v>
      </c>
      <c r="B145" s="66" t="s">
        <v>433</v>
      </c>
      <c r="C145" s="64" t="str">
        <f t="shared" si="3"/>
        <v>15</v>
      </c>
      <c r="D145" s="65" t="s">
        <v>434</v>
      </c>
      <c r="E145" s="65"/>
      <c r="F145" s="65"/>
      <c r="G145" s="65"/>
      <c r="H145" s="65"/>
      <c r="I145" s="65"/>
      <c r="J145" s="65"/>
      <c r="K145" s="65"/>
      <c r="L145" s="65" t="s">
        <v>6</v>
      </c>
      <c r="M145" s="63"/>
      <c r="N145" s="65" t="s">
        <v>6</v>
      </c>
      <c r="O145" s="65"/>
    </row>
    <row r="146" spans="1:15">
      <c r="A146" s="66" t="s">
        <v>435</v>
      </c>
      <c r="B146" s="66" t="s">
        <v>436</v>
      </c>
      <c r="C146" s="64" t="str">
        <f t="shared" si="3"/>
        <v>14</v>
      </c>
      <c r="D146" s="65" t="s">
        <v>437</v>
      </c>
      <c r="E146" s="65"/>
      <c r="F146" s="65"/>
      <c r="G146" s="65"/>
      <c r="H146" s="65"/>
      <c r="I146" s="65"/>
      <c r="J146" s="65" t="s">
        <v>6</v>
      </c>
      <c r="K146" s="65"/>
      <c r="L146" s="65"/>
      <c r="M146" s="63"/>
      <c r="N146" s="65"/>
      <c r="O146" s="65" t="s">
        <v>6</v>
      </c>
    </row>
    <row r="147" spans="1:15">
      <c r="A147" s="66" t="s">
        <v>438</v>
      </c>
      <c r="B147" s="66" t="s">
        <v>439</v>
      </c>
      <c r="C147" s="64" t="str">
        <f t="shared" si="3"/>
        <v>14</v>
      </c>
      <c r="D147" s="65" t="s">
        <v>440</v>
      </c>
      <c r="E147" s="65"/>
      <c r="F147" s="65"/>
      <c r="G147" s="65" t="s">
        <v>6</v>
      </c>
      <c r="H147" s="65" t="s">
        <v>6</v>
      </c>
      <c r="I147" s="65" t="s">
        <v>6</v>
      </c>
      <c r="J147" s="65" t="s">
        <v>6</v>
      </c>
      <c r="K147" s="65" t="s">
        <v>6</v>
      </c>
      <c r="L147" s="65" t="s">
        <v>6</v>
      </c>
      <c r="M147" s="63" t="s">
        <v>6</v>
      </c>
      <c r="N147" s="65" t="s">
        <v>6</v>
      </c>
      <c r="O147" s="65"/>
    </row>
    <row r="148" spans="1:15">
      <c r="A148" s="66" t="s">
        <v>441</v>
      </c>
      <c r="B148" s="66" t="s">
        <v>442</v>
      </c>
      <c r="C148" s="64" t="str">
        <f t="shared" si="3"/>
        <v>14</v>
      </c>
      <c r="D148" s="65" t="s">
        <v>443</v>
      </c>
      <c r="E148" s="65"/>
      <c r="F148" s="65"/>
      <c r="G148" s="65"/>
      <c r="H148" s="65"/>
      <c r="I148" s="65"/>
      <c r="J148" s="65" t="s">
        <v>6</v>
      </c>
      <c r="K148" s="65"/>
      <c r="L148" s="65"/>
      <c r="M148" s="63"/>
      <c r="N148" s="65"/>
      <c r="O148" s="65" t="s">
        <v>6</v>
      </c>
    </row>
    <row r="149" spans="1:15">
      <c r="A149" s="66" t="s">
        <v>444</v>
      </c>
      <c r="B149" s="66" t="s">
        <v>445</v>
      </c>
      <c r="C149" s="64" t="str">
        <f t="shared" si="3"/>
        <v>15</v>
      </c>
      <c r="D149" s="65" t="s">
        <v>446</v>
      </c>
      <c r="E149" s="65" t="s">
        <v>6</v>
      </c>
      <c r="F149" s="65" t="s">
        <v>6</v>
      </c>
      <c r="G149" s="65"/>
      <c r="H149" s="65"/>
      <c r="I149" s="65"/>
      <c r="J149" s="65"/>
      <c r="K149" s="65"/>
      <c r="L149" s="65"/>
      <c r="M149" s="63"/>
      <c r="N149" s="65" t="s">
        <v>6</v>
      </c>
      <c r="O149" s="65"/>
    </row>
    <row r="150" spans="1:15">
      <c r="A150" s="66" t="s">
        <v>447</v>
      </c>
      <c r="B150" s="66" t="s">
        <v>448</v>
      </c>
      <c r="C150" s="64" t="str">
        <f t="shared" si="3"/>
        <v>15</v>
      </c>
      <c r="D150" s="65" t="s">
        <v>449</v>
      </c>
      <c r="E150" s="65"/>
      <c r="F150" s="65" t="s">
        <v>6</v>
      </c>
      <c r="G150" s="65"/>
      <c r="H150" s="65"/>
      <c r="I150" s="65"/>
      <c r="J150" s="65"/>
      <c r="K150" s="65" t="s">
        <v>6</v>
      </c>
      <c r="L150" s="65" t="s">
        <v>6</v>
      </c>
      <c r="M150" s="63"/>
      <c r="N150" s="65" t="s">
        <v>6</v>
      </c>
      <c r="O150" s="65"/>
    </row>
    <row r="151" spans="1:15">
      <c r="A151" s="66" t="s">
        <v>450</v>
      </c>
      <c r="B151" s="66" t="s">
        <v>451</v>
      </c>
      <c r="C151" s="64" t="str">
        <f t="shared" si="3"/>
        <v>14</v>
      </c>
      <c r="D151" s="65" t="s">
        <v>452</v>
      </c>
      <c r="E151" s="65"/>
      <c r="F151" s="65"/>
      <c r="G151" s="65" t="s">
        <v>6</v>
      </c>
      <c r="H151" s="65" t="s">
        <v>6</v>
      </c>
      <c r="I151" s="65" t="s">
        <v>6</v>
      </c>
      <c r="J151" s="65" t="s">
        <v>6</v>
      </c>
      <c r="K151" s="65"/>
      <c r="L151" s="65" t="s">
        <v>6</v>
      </c>
      <c r="M151" s="63" t="s">
        <v>6</v>
      </c>
      <c r="N151" s="65" t="s">
        <v>6</v>
      </c>
      <c r="O151" s="65" t="s">
        <v>6</v>
      </c>
    </row>
    <row r="152" spans="1:15">
      <c r="A152" s="66" t="s">
        <v>453</v>
      </c>
      <c r="B152" s="66" t="s">
        <v>454</v>
      </c>
      <c r="C152" s="64" t="str">
        <f t="shared" si="3"/>
        <v>14</v>
      </c>
      <c r="D152" s="65" t="s">
        <v>455</v>
      </c>
      <c r="E152" s="65"/>
      <c r="F152" s="65"/>
      <c r="G152" s="65"/>
      <c r="H152" s="65" t="s">
        <v>6</v>
      </c>
      <c r="I152" s="65"/>
      <c r="J152" s="65" t="s">
        <v>6</v>
      </c>
      <c r="K152" s="65"/>
      <c r="L152" s="65"/>
      <c r="M152" s="63"/>
      <c r="N152" s="65" t="s">
        <v>6</v>
      </c>
      <c r="O152" s="65"/>
    </row>
    <row r="153" spans="1:15">
      <c r="A153" s="66" t="s">
        <v>456</v>
      </c>
      <c r="B153" s="66" t="s">
        <v>457</v>
      </c>
      <c r="C153" s="64" t="str">
        <f t="shared" si="3"/>
        <v>16</v>
      </c>
      <c r="D153" s="65" t="s">
        <v>458</v>
      </c>
      <c r="E153" s="65" t="s">
        <v>6</v>
      </c>
      <c r="F153" s="65" t="s">
        <v>6</v>
      </c>
      <c r="G153" s="65"/>
      <c r="H153" s="65" t="s">
        <v>6</v>
      </c>
      <c r="I153" s="65"/>
      <c r="J153" s="65"/>
      <c r="K153" s="65"/>
      <c r="L153" s="65"/>
      <c r="M153" s="63" t="s">
        <v>6</v>
      </c>
      <c r="N153" s="65" t="s">
        <v>6</v>
      </c>
      <c r="O153" s="65" t="s">
        <v>6</v>
      </c>
    </row>
    <row r="154" spans="1:15">
      <c r="A154" s="66" t="s">
        <v>459</v>
      </c>
      <c r="B154" s="66" t="s">
        <v>460</v>
      </c>
      <c r="C154" s="64" t="str">
        <f t="shared" si="3"/>
        <v>14</v>
      </c>
      <c r="D154" s="65" t="s">
        <v>461</v>
      </c>
      <c r="E154" s="65"/>
      <c r="F154" s="65"/>
      <c r="G154" s="65"/>
      <c r="H154" s="65"/>
      <c r="I154" s="65"/>
      <c r="J154" s="65" t="s">
        <v>6</v>
      </c>
      <c r="K154" s="63" t="s">
        <v>6</v>
      </c>
      <c r="L154" s="65"/>
      <c r="M154" s="63"/>
      <c r="N154" s="65"/>
      <c r="O154" s="65"/>
    </row>
    <row r="155" spans="1:15">
      <c r="A155" s="66" t="s">
        <v>462</v>
      </c>
      <c r="B155" s="66" t="s">
        <v>463</v>
      </c>
      <c r="C155" s="64" t="str">
        <f t="shared" si="3"/>
        <v>15</v>
      </c>
      <c r="D155" s="65" t="s">
        <v>464</v>
      </c>
      <c r="E155" s="65"/>
      <c r="F155" s="65" t="s">
        <v>6</v>
      </c>
      <c r="G155" s="65" t="s">
        <v>6</v>
      </c>
      <c r="H155" s="65" t="s">
        <v>6</v>
      </c>
      <c r="I155" s="65"/>
      <c r="J155" s="65"/>
      <c r="K155" s="65" t="s">
        <v>6</v>
      </c>
      <c r="L155" s="65" t="s">
        <v>6</v>
      </c>
      <c r="M155" s="63"/>
      <c r="N155" s="65" t="s">
        <v>6</v>
      </c>
      <c r="O155" s="65"/>
    </row>
    <row r="156" spans="1:15">
      <c r="A156" s="66" t="s">
        <v>465</v>
      </c>
      <c r="B156" s="66" t="s">
        <v>466</v>
      </c>
      <c r="C156" s="64" t="str">
        <f t="shared" si="3"/>
        <v>14</v>
      </c>
      <c r="D156" s="65" t="s">
        <v>467</v>
      </c>
      <c r="E156" s="65"/>
      <c r="F156" s="65"/>
      <c r="G156" s="65"/>
      <c r="H156" s="65"/>
      <c r="I156" s="65"/>
      <c r="J156" s="65" t="s">
        <v>6</v>
      </c>
      <c r="K156" s="63" t="s">
        <v>6</v>
      </c>
      <c r="L156" s="65" t="s">
        <v>6</v>
      </c>
      <c r="M156" s="63"/>
      <c r="N156" s="65" t="s">
        <v>6</v>
      </c>
      <c r="O156" s="65"/>
    </row>
    <row r="157" spans="1:15">
      <c r="A157" s="66" t="s">
        <v>468</v>
      </c>
      <c r="B157" s="66" t="s">
        <v>469</v>
      </c>
      <c r="C157" s="64" t="str">
        <f t="shared" si="3"/>
        <v>14</v>
      </c>
      <c r="D157" s="65" t="s">
        <v>470</v>
      </c>
      <c r="E157" s="65"/>
      <c r="F157" s="65"/>
      <c r="G157" s="65" t="s">
        <v>6</v>
      </c>
      <c r="H157" s="65" t="s">
        <v>6</v>
      </c>
      <c r="I157" s="65"/>
      <c r="J157" s="65"/>
      <c r="K157" s="65"/>
      <c r="L157" s="65" t="s">
        <v>6</v>
      </c>
      <c r="M157" s="63"/>
      <c r="N157" s="65" t="s">
        <v>6</v>
      </c>
      <c r="O157" s="65"/>
    </row>
    <row r="158" spans="1:15">
      <c r="A158" s="66" t="s">
        <v>471</v>
      </c>
      <c r="B158" s="66" t="s">
        <v>472</v>
      </c>
      <c r="C158" s="64" t="str">
        <f t="shared" si="3"/>
        <v>14</v>
      </c>
      <c r="D158" s="65" t="s">
        <v>473</v>
      </c>
      <c r="E158" s="65"/>
      <c r="F158" s="65" t="s">
        <v>6</v>
      </c>
      <c r="G158" s="65" t="s">
        <v>6</v>
      </c>
      <c r="H158" s="65" t="s">
        <v>6</v>
      </c>
      <c r="I158" s="65"/>
      <c r="J158" s="65" t="s">
        <v>6</v>
      </c>
      <c r="K158" s="65"/>
      <c r="L158" s="65" t="s">
        <v>6</v>
      </c>
      <c r="M158" s="63"/>
      <c r="N158" s="65" t="s">
        <v>6</v>
      </c>
      <c r="O158" s="65"/>
    </row>
    <row r="159" spans="1:15">
      <c r="A159" s="66" t="s">
        <v>474</v>
      </c>
      <c r="B159" s="66" t="s">
        <v>475</v>
      </c>
      <c r="C159" s="64" t="str">
        <f t="shared" si="3"/>
        <v>13</v>
      </c>
      <c r="D159" s="65" t="s">
        <v>476</v>
      </c>
      <c r="E159" s="65"/>
      <c r="F159" s="65"/>
      <c r="G159" s="65" t="s">
        <v>6</v>
      </c>
      <c r="H159" s="65" t="s">
        <v>6</v>
      </c>
      <c r="I159" s="65" t="s">
        <v>6</v>
      </c>
      <c r="J159" s="65"/>
      <c r="K159" s="65"/>
      <c r="L159" s="65" t="s">
        <v>6</v>
      </c>
      <c r="M159" s="63"/>
      <c r="N159" s="65" t="s">
        <v>6</v>
      </c>
      <c r="O159" s="65"/>
    </row>
    <row r="160" spans="1:15">
      <c r="A160" s="66" t="s">
        <v>477</v>
      </c>
      <c r="B160" s="66" t="s">
        <v>478</v>
      </c>
      <c r="C160" s="64" t="str">
        <f t="shared" si="3"/>
        <v>12</v>
      </c>
      <c r="D160" s="65" t="s">
        <v>479</v>
      </c>
      <c r="E160" s="65"/>
      <c r="F160" s="65"/>
      <c r="G160" s="65"/>
      <c r="H160" s="65" t="s">
        <v>6</v>
      </c>
      <c r="I160" s="65" t="s">
        <v>6</v>
      </c>
      <c r="J160" s="65"/>
      <c r="K160" s="65"/>
      <c r="L160" s="65"/>
      <c r="M160" s="63"/>
      <c r="N160" s="65"/>
      <c r="O160" s="65"/>
    </row>
    <row r="161" spans="1:15">
      <c r="A161" s="66" t="s">
        <v>480</v>
      </c>
      <c r="B161" s="66" t="s">
        <v>481</v>
      </c>
      <c r="C161" s="64" t="str">
        <f t="shared" si="3"/>
        <v>15</v>
      </c>
      <c r="D161" s="65" t="s">
        <v>482</v>
      </c>
      <c r="E161" s="65"/>
      <c r="F161" s="65"/>
      <c r="G161" s="65" t="s">
        <v>6</v>
      </c>
      <c r="H161" s="65"/>
      <c r="I161" s="65" t="s">
        <v>6</v>
      </c>
      <c r="J161" s="65"/>
      <c r="K161" s="65"/>
      <c r="L161" s="65"/>
      <c r="M161" s="63"/>
      <c r="N161" s="65"/>
      <c r="O161" s="65"/>
    </row>
    <row r="162" spans="1:15">
      <c r="A162" s="66" t="s">
        <v>483</v>
      </c>
      <c r="B162" s="66" t="s">
        <v>484</v>
      </c>
      <c r="C162" s="64" t="str">
        <f t="shared" si="3"/>
        <v>14</v>
      </c>
      <c r="D162" s="65" t="s">
        <v>485</v>
      </c>
      <c r="E162" s="65"/>
      <c r="F162" s="65" t="s">
        <v>6</v>
      </c>
      <c r="G162" s="65" t="s">
        <v>6</v>
      </c>
      <c r="H162" s="65" t="s">
        <v>6</v>
      </c>
      <c r="I162" s="65" t="s">
        <v>6</v>
      </c>
      <c r="J162" s="65" t="s">
        <v>6</v>
      </c>
      <c r="K162" s="65"/>
      <c r="L162" s="65"/>
      <c r="M162" s="63"/>
      <c r="N162" s="65" t="s">
        <v>6</v>
      </c>
      <c r="O162" s="65"/>
    </row>
    <row r="163" spans="1:15">
      <c r="A163" s="66" t="s">
        <v>486</v>
      </c>
      <c r="B163" s="66" t="s">
        <v>487</v>
      </c>
      <c r="C163" s="64" t="str">
        <f t="shared" si="3"/>
        <v>14</v>
      </c>
      <c r="D163" s="63" t="s">
        <v>488</v>
      </c>
      <c r="E163" s="63"/>
      <c r="F163" s="63"/>
      <c r="G163" s="63" t="s">
        <v>6</v>
      </c>
      <c r="H163" s="63" t="s">
        <v>6</v>
      </c>
      <c r="I163" s="63"/>
      <c r="J163" s="65" t="s">
        <v>6</v>
      </c>
      <c r="K163" s="63"/>
      <c r="L163" s="65" t="s">
        <v>6</v>
      </c>
      <c r="M163" s="63" t="s">
        <v>6</v>
      </c>
      <c r="N163" s="65" t="s">
        <v>6</v>
      </c>
      <c r="O163" s="65"/>
    </row>
    <row r="164" spans="1:15">
      <c r="A164" s="66" t="s">
        <v>489</v>
      </c>
      <c r="B164" s="66" t="s">
        <v>490</v>
      </c>
      <c r="C164" s="64" t="str">
        <f t="shared" si="3"/>
        <v>14</v>
      </c>
      <c r="D164" s="65" t="s">
        <v>491</v>
      </c>
      <c r="E164" s="65" t="s">
        <v>6</v>
      </c>
      <c r="F164" s="65" t="s">
        <v>6</v>
      </c>
      <c r="G164" s="65"/>
      <c r="H164" s="65" t="s">
        <v>6</v>
      </c>
      <c r="I164" s="65"/>
      <c r="J164" s="65" t="s">
        <v>6</v>
      </c>
      <c r="K164" s="65"/>
      <c r="L164" s="65"/>
      <c r="M164" s="63"/>
      <c r="N164" s="65" t="s">
        <v>6</v>
      </c>
      <c r="O164" s="65"/>
    </row>
    <row r="165" spans="1:15">
      <c r="A165" s="66" t="s">
        <v>492</v>
      </c>
      <c r="B165" s="66" t="s">
        <v>493</v>
      </c>
      <c r="C165" s="64" t="str">
        <f t="shared" si="3"/>
        <v>14</v>
      </c>
      <c r="D165" s="63" t="s">
        <v>494</v>
      </c>
      <c r="E165" s="63"/>
      <c r="F165" s="63"/>
      <c r="G165" s="65" t="s">
        <v>6</v>
      </c>
      <c r="H165" s="65" t="s">
        <v>6</v>
      </c>
      <c r="I165" s="65" t="s">
        <v>6</v>
      </c>
      <c r="J165" s="65" t="s">
        <v>6</v>
      </c>
      <c r="K165" s="63"/>
      <c r="L165" s="65" t="s">
        <v>6</v>
      </c>
      <c r="M165" s="63" t="s">
        <v>6</v>
      </c>
      <c r="N165" s="65" t="s">
        <v>6</v>
      </c>
      <c r="O165" s="65" t="s">
        <v>6</v>
      </c>
    </row>
    <row r="166" spans="1:15">
      <c r="A166" s="64" t="s">
        <v>495</v>
      </c>
      <c r="B166" s="64" t="s">
        <v>496</v>
      </c>
      <c r="C166" s="64" t="str">
        <f t="shared" si="3"/>
        <v>14</v>
      </c>
      <c r="D166" s="63" t="s">
        <v>497</v>
      </c>
      <c r="E166" s="63"/>
      <c r="F166" s="63"/>
      <c r="G166" s="63" t="s">
        <v>6</v>
      </c>
      <c r="H166" s="63"/>
      <c r="I166" s="63"/>
      <c r="J166" s="63"/>
      <c r="K166" s="63"/>
      <c r="L166" s="65" t="s">
        <v>6</v>
      </c>
      <c r="M166" s="63"/>
      <c r="N166" s="63"/>
      <c r="O166" s="63"/>
    </row>
    <row r="167" spans="1:15">
      <c r="A167" s="66" t="s">
        <v>498</v>
      </c>
      <c r="B167" s="66" t="s">
        <v>499</v>
      </c>
      <c r="C167" s="64" t="str">
        <f t="shared" si="3"/>
        <v>15</v>
      </c>
      <c r="D167" s="65" t="s">
        <v>500</v>
      </c>
      <c r="E167" s="65" t="s">
        <v>6</v>
      </c>
      <c r="F167" s="65" t="s">
        <v>6</v>
      </c>
      <c r="G167" s="65"/>
      <c r="H167" s="65" t="s">
        <v>6</v>
      </c>
      <c r="I167" s="65" t="s">
        <v>6</v>
      </c>
      <c r="J167" s="65"/>
      <c r="K167" s="65"/>
      <c r="L167" s="65" t="s">
        <v>6</v>
      </c>
      <c r="M167" s="63"/>
      <c r="N167" s="65" t="s">
        <v>6</v>
      </c>
      <c r="O167" s="65"/>
    </row>
    <row r="168" spans="1:15">
      <c r="A168" s="66" t="s">
        <v>501</v>
      </c>
      <c r="B168" s="66" t="s">
        <v>502</v>
      </c>
      <c r="C168" s="64" t="str">
        <f t="shared" si="3"/>
        <v>14</v>
      </c>
      <c r="D168" s="65" t="s">
        <v>503</v>
      </c>
      <c r="E168" s="65" t="s">
        <v>6</v>
      </c>
      <c r="F168" s="65" t="s">
        <v>6</v>
      </c>
      <c r="G168" s="65" t="s">
        <v>6</v>
      </c>
      <c r="H168" s="65" t="s">
        <v>6</v>
      </c>
      <c r="I168" s="65" t="s">
        <v>6</v>
      </c>
      <c r="J168" s="65" t="s">
        <v>6</v>
      </c>
      <c r="K168" s="65"/>
      <c r="L168" s="65" t="s">
        <v>6</v>
      </c>
      <c r="M168" s="63" t="s">
        <v>6</v>
      </c>
      <c r="N168" s="65" t="s">
        <v>6</v>
      </c>
      <c r="O168" s="65"/>
    </row>
    <row r="169" spans="1:15">
      <c r="A169" s="66" t="s">
        <v>504</v>
      </c>
      <c r="B169" s="66" t="s">
        <v>505</v>
      </c>
      <c r="C169" s="64" t="str">
        <f t="shared" si="3"/>
        <v>14</v>
      </c>
      <c r="D169" s="65" t="s">
        <v>506</v>
      </c>
      <c r="E169" s="65"/>
      <c r="F169" s="65" t="s">
        <v>6</v>
      </c>
      <c r="G169" s="65" t="s">
        <v>6</v>
      </c>
      <c r="H169" s="65" t="s">
        <v>6</v>
      </c>
      <c r="I169" s="65" t="s">
        <v>6</v>
      </c>
      <c r="J169" s="65" t="s">
        <v>6</v>
      </c>
      <c r="K169" s="65"/>
      <c r="L169" s="65"/>
      <c r="M169" s="63" t="s">
        <v>6</v>
      </c>
      <c r="N169" s="65" t="s">
        <v>6</v>
      </c>
      <c r="O169" s="65"/>
    </row>
    <row r="170" spans="1:15">
      <c r="A170" s="64" t="s">
        <v>507</v>
      </c>
      <c r="B170" s="64" t="s">
        <v>508</v>
      </c>
      <c r="C170" s="64" t="str">
        <f t="shared" si="3"/>
        <v>14</v>
      </c>
      <c r="D170" s="63" t="s">
        <v>509</v>
      </c>
      <c r="E170" s="63"/>
      <c r="F170" s="63"/>
      <c r="G170" s="63" t="s">
        <v>6</v>
      </c>
      <c r="H170" s="63"/>
      <c r="I170" s="63"/>
      <c r="J170" s="63"/>
      <c r="K170" s="63"/>
      <c r="L170" s="63"/>
      <c r="M170" s="63"/>
      <c r="N170" s="63"/>
      <c r="O170" s="63"/>
    </row>
    <row r="171" spans="1:15">
      <c r="A171" s="64" t="s">
        <v>510</v>
      </c>
      <c r="B171" s="66" t="s">
        <v>511</v>
      </c>
      <c r="C171" s="64" t="str">
        <f t="shared" si="3"/>
        <v>14</v>
      </c>
      <c r="D171" s="63" t="s">
        <v>512</v>
      </c>
      <c r="E171" s="63"/>
      <c r="F171" s="63"/>
      <c r="G171" s="65" t="s">
        <v>6</v>
      </c>
      <c r="H171" s="65" t="s">
        <v>6</v>
      </c>
      <c r="I171" s="65" t="s">
        <v>6</v>
      </c>
      <c r="J171" s="65" t="s">
        <v>6</v>
      </c>
      <c r="K171" s="63"/>
      <c r="L171" s="65" t="s">
        <v>6</v>
      </c>
      <c r="M171" s="63" t="s">
        <v>6</v>
      </c>
      <c r="N171" s="65" t="s">
        <v>6</v>
      </c>
      <c r="O171" s="65" t="s">
        <v>6</v>
      </c>
    </row>
    <row r="172" spans="1:15">
      <c r="A172" s="66" t="s">
        <v>513</v>
      </c>
      <c r="B172" s="66" t="s">
        <v>514</v>
      </c>
      <c r="C172" s="64" t="str">
        <f t="shared" si="3"/>
        <v>13</v>
      </c>
      <c r="D172" s="65" t="s">
        <v>515</v>
      </c>
      <c r="E172" s="65"/>
      <c r="F172" s="65"/>
      <c r="G172" s="65" t="s">
        <v>6</v>
      </c>
      <c r="H172" s="65" t="s">
        <v>6</v>
      </c>
      <c r="I172" s="65" t="s">
        <v>6</v>
      </c>
      <c r="J172" s="65"/>
      <c r="K172" s="65"/>
      <c r="L172" s="65"/>
      <c r="M172" s="63"/>
      <c r="N172" s="65" t="s">
        <v>6</v>
      </c>
      <c r="O172" s="65"/>
    </row>
    <row r="173" spans="1:15">
      <c r="A173" s="66" t="s">
        <v>516</v>
      </c>
      <c r="B173" s="66" t="s">
        <v>517</v>
      </c>
      <c r="C173" s="64" t="str">
        <f t="shared" si="3"/>
        <v>12</v>
      </c>
      <c r="D173" s="65" t="s">
        <v>518</v>
      </c>
      <c r="E173" s="65"/>
      <c r="F173" s="65"/>
      <c r="G173" s="65" t="s">
        <v>6</v>
      </c>
      <c r="H173" s="65" t="s">
        <v>6</v>
      </c>
      <c r="I173" s="65" t="s">
        <v>6</v>
      </c>
      <c r="J173" s="65"/>
      <c r="K173" s="65"/>
      <c r="L173" s="65"/>
      <c r="M173" s="63"/>
      <c r="N173" s="65"/>
      <c r="O173" s="65"/>
    </row>
    <row r="174" spans="1:15">
      <c r="A174" s="66" t="s">
        <v>519</v>
      </c>
      <c r="B174" s="66" t="s">
        <v>520</v>
      </c>
      <c r="C174" s="64" t="str">
        <f t="shared" si="3"/>
        <v>14</v>
      </c>
      <c r="D174" s="65" t="s">
        <v>521</v>
      </c>
      <c r="E174" s="65"/>
      <c r="F174" s="65"/>
      <c r="G174" s="65" t="s">
        <v>6</v>
      </c>
      <c r="H174" s="65" t="s">
        <v>6</v>
      </c>
      <c r="I174" s="65"/>
      <c r="J174" s="65"/>
      <c r="K174" s="65"/>
      <c r="L174" s="65"/>
      <c r="M174" s="63"/>
      <c r="N174" s="65"/>
      <c r="O174" s="65"/>
    </row>
    <row r="175" spans="1:15">
      <c r="A175" s="66" t="s">
        <v>522</v>
      </c>
      <c r="B175" s="66" t="s">
        <v>523</v>
      </c>
      <c r="C175" s="64" t="str">
        <f t="shared" si="3"/>
        <v>14</v>
      </c>
      <c r="D175" s="65" t="s">
        <v>524</v>
      </c>
      <c r="E175" s="65"/>
      <c r="F175" s="65"/>
      <c r="G175" s="65" t="s">
        <v>6</v>
      </c>
      <c r="H175" s="65" t="s">
        <v>6</v>
      </c>
      <c r="I175" s="65" t="s">
        <v>6</v>
      </c>
      <c r="J175" s="65" t="s">
        <v>6</v>
      </c>
      <c r="K175" s="65"/>
      <c r="L175" s="65" t="s">
        <v>6</v>
      </c>
      <c r="M175" s="63" t="s">
        <v>6</v>
      </c>
      <c r="N175" s="65" t="s">
        <v>6</v>
      </c>
      <c r="O175" s="65"/>
    </row>
    <row r="176" spans="1:15">
      <c r="A176" s="66" t="s">
        <v>525</v>
      </c>
      <c r="B176" s="66" t="s">
        <v>526</v>
      </c>
      <c r="C176" s="64" t="str">
        <f t="shared" si="3"/>
        <v>14</v>
      </c>
      <c r="D176" s="65" t="s">
        <v>527</v>
      </c>
      <c r="E176" s="65"/>
      <c r="F176" s="65"/>
      <c r="G176" s="65"/>
      <c r="H176" s="65"/>
      <c r="I176" s="65"/>
      <c r="J176" s="65" t="s">
        <v>6</v>
      </c>
      <c r="K176" s="65" t="s">
        <v>6</v>
      </c>
      <c r="L176" s="65" t="s">
        <v>6</v>
      </c>
      <c r="M176" s="63" t="s">
        <v>6</v>
      </c>
      <c r="N176" s="65" t="s">
        <v>6</v>
      </c>
      <c r="O176" s="63" t="s">
        <v>6</v>
      </c>
    </row>
    <row r="177" spans="1:15">
      <c r="A177" s="66" t="s">
        <v>528</v>
      </c>
      <c r="B177" s="66" t="s">
        <v>529</v>
      </c>
      <c r="C177" s="64" t="str">
        <f t="shared" si="3"/>
        <v>13</v>
      </c>
      <c r="D177" s="65" t="s">
        <v>530</v>
      </c>
      <c r="E177" s="65"/>
      <c r="F177" s="65"/>
      <c r="G177" s="65"/>
      <c r="H177" s="65" t="s">
        <v>6</v>
      </c>
      <c r="I177" s="65" t="s">
        <v>6</v>
      </c>
      <c r="J177" s="65"/>
      <c r="K177" s="65"/>
      <c r="L177" s="65" t="s">
        <v>6</v>
      </c>
      <c r="M177" s="63"/>
      <c r="N177" s="65"/>
      <c r="O177" s="65"/>
    </row>
    <row r="178" spans="1:15">
      <c r="A178" s="66" t="s">
        <v>531</v>
      </c>
      <c r="B178" s="66" t="s">
        <v>532</v>
      </c>
      <c r="C178" s="64" t="str">
        <f t="shared" si="3"/>
        <v>14</v>
      </c>
      <c r="D178" s="65" t="s">
        <v>527</v>
      </c>
      <c r="E178" s="65"/>
      <c r="F178" s="65"/>
      <c r="G178" s="65"/>
      <c r="H178" s="65"/>
      <c r="I178" s="65"/>
      <c r="J178" s="65" t="s">
        <v>6</v>
      </c>
      <c r="K178" s="65"/>
      <c r="L178" s="65" t="s">
        <v>6</v>
      </c>
      <c r="M178" s="63"/>
      <c r="N178" s="65" t="s">
        <v>6</v>
      </c>
      <c r="O178" s="65"/>
    </row>
    <row r="179" spans="1:15">
      <c r="A179" s="64" t="s">
        <v>533</v>
      </c>
      <c r="B179" s="64" t="s">
        <v>534</v>
      </c>
      <c r="C179" s="64" t="str">
        <f t="shared" ref="C179:C214" si="4">MID(A179,9,2)</f>
        <v>13</v>
      </c>
      <c r="D179" s="63" t="s">
        <v>535</v>
      </c>
      <c r="E179" s="63"/>
      <c r="F179" s="63"/>
      <c r="G179" s="63" t="s">
        <v>6</v>
      </c>
      <c r="H179" s="63" t="s">
        <v>6</v>
      </c>
      <c r="I179" s="63" t="s">
        <v>6</v>
      </c>
      <c r="J179" s="63"/>
      <c r="K179" s="63"/>
      <c r="L179" s="65"/>
      <c r="M179" s="63"/>
      <c r="N179" s="65" t="s">
        <v>6</v>
      </c>
      <c r="O179" s="63"/>
    </row>
    <row r="180" spans="1:15">
      <c r="A180" s="66" t="s">
        <v>536</v>
      </c>
      <c r="B180" s="66" t="s">
        <v>537</v>
      </c>
      <c r="C180" s="64" t="str">
        <f t="shared" si="4"/>
        <v>14</v>
      </c>
      <c r="D180" s="65" t="s">
        <v>538</v>
      </c>
      <c r="E180" s="65" t="s">
        <v>6</v>
      </c>
      <c r="F180" s="65" t="s">
        <v>6</v>
      </c>
      <c r="G180" s="65"/>
      <c r="H180" s="65"/>
      <c r="I180" s="65"/>
      <c r="J180" s="65" t="s">
        <v>6</v>
      </c>
      <c r="K180" s="65"/>
      <c r="L180" s="65"/>
      <c r="M180" s="63" t="s">
        <v>6</v>
      </c>
      <c r="N180" s="65" t="s">
        <v>6</v>
      </c>
      <c r="O180" s="65"/>
    </row>
    <row r="181" spans="1:15">
      <c r="A181" s="66" t="s">
        <v>539</v>
      </c>
      <c r="B181" s="66" t="s">
        <v>540</v>
      </c>
      <c r="C181" s="64" t="str">
        <f t="shared" si="4"/>
        <v>14</v>
      </c>
      <c r="D181" s="65" t="s">
        <v>541</v>
      </c>
      <c r="E181" s="65"/>
      <c r="F181" s="65"/>
      <c r="G181" s="65" t="s">
        <v>6</v>
      </c>
      <c r="H181" s="65" t="s">
        <v>6</v>
      </c>
      <c r="I181" s="65" t="s">
        <v>6</v>
      </c>
      <c r="J181" s="65"/>
      <c r="K181" s="65"/>
      <c r="L181" s="65" t="s">
        <v>6</v>
      </c>
      <c r="M181" s="63"/>
      <c r="N181" s="65" t="s">
        <v>6</v>
      </c>
      <c r="O181" s="65"/>
    </row>
    <row r="182" spans="1:15">
      <c r="A182" s="66" t="s">
        <v>542</v>
      </c>
      <c r="B182" s="66" t="s">
        <v>543</v>
      </c>
      <c r="C182" s="64" t="str">
        <f t="shared" si="4"/>
        <v>13</v>
      </c>
      <c r="D182" s="65" t="s">
        <v>544</v>
      </c>
      <c r="E182" s="65"/>
      <c r="F182" s="65"/>
      <c r="G182" s="65" t="s">
        <v>6</v>
      </c>
      <c r="H182" s="65" t="s">
        <v>6</v>
      </c>
      <c r="I182" s="65" t="s">
        <v>6</v>
      </c>
      <c r="J182" s="65"/>
      <c r="K182" s="65"/>
      <c r="L182" s="65" t="s">
        <v>6</v>
      </c>
      <c r="M182" s="63"/>
      <c r="N182" s="65"/>
      <c r="O182" s="65"/>
    </row>
    <row r="183" spans="1:15" ht="15.75">
      <c r="A183" s="66" t="s">
        <v>545</v>
      </c>
      <c r="B183" s="66" t="s">
        <v>546</v>
      </c>
      <c r="C183" s="64" t="str">
        <f t="shared" si="4"/>
        <v>13</v>
      </c>
      <c r="D183" s="65" t="s">
        <v>547</v>
      </c>
      <c r="E183" s="65"/>
      <c r="F183" s="65"/>
      <c r="G183" s="65" t="s">
        <v>6</v>
      </c>
      <c r="H183" s="65" t="s">
        <v>6</v>
      </c>
      <c r="I183" s="65" t="s">
        <v>6</v>
      </c>
      <c r="J183" s="65"/>
      <c r="K183" s="65"/>
      <c r="L183" s="65"/>
      <c r="M183" s="63"/>
      <c r="N183" s="67" t="s">
        <v>6</v>
      </c>
      <c r="O183" s="65"/>
    </row>
    <row r="184" spans="1:15">
      <c r="A184" s="66" t="s">
        <v>548</v>
      </c>
      <c r="B184" s="66" t="s">
        <v>549</v>
      </c>
      <c r="C184" s="64" t="str">
        <f t="shared" si="4"/>
        <v>13</v>
      </c>
      <c r="D184" s="65" t="s">
        <v>550</v>
      </c>
      <c r="E184" s="65"/>
      <c r="F184" s="65"/>
      <c r="G184" s="65" t="s">
        <v>6</v>
      </c>
      <c r="H184" s="65" t="s">
        <v>6</v>
      </c>
      <c r="I184" s="65" t="s">
        <v>6</v>
      </c>
      <c r="J184" s="65"/>
      <c r="K184" s="65"/>
      <c r="L184" s="65" t="s">
        <v>6</v>
      </c>
      <c r="M184" s="63"/>
      <c r="N184" s="65"/>
      <c r="O184" s="65"/>
    </row>
    <row r="185" spans="1:15">
      <c r="A185" s="66" t="s">
        <v>551</v>
      </c>
      <c r="B185" s="66" t="s">
        <v>552</v>
      </c>
      <c r="C185" s="64" t="str">
        <f t="shared" si="4"/>
        <v>14</v>
      </c>
      <c r="D185" s="65" t="s">
        <v>553</v>
      </c>
      <c r="E185" s="65"/>
      <c r="F185" s="65"/>
      <c r="G185" s="65" t="s">
        <v>6</v>
      </c>
      <c r="H185" s="65" t="s">
        <v>6</v>
      </c>
      <c r="I185" s="65" t="s">
        <v>6</v>
      </c>
      <c r="J185" s="63" t="s">
        <v>6</v>
      </c>
      <c r="K185" s="65"/>
      <c r="L185" s="65" t="s">
        <v>6</v>
      </c>
      <c r="M185" s="63" t="s">
        <v>6</v>
      </c>
      <c r="N185" s="65" t="s">
        <v>6</v>
      </c>
      <c r="O185" s="65"/>
    </row>
    <row r="186" spans="1:15">
      <c r="A186" s="66" t="s">
        <v>554</v>
      </c>
      <c r="B186" s="66" t="s">
        <v>555</v>
      </c>
      <c r="C186" s="64" t="str">
        <f t="shared" si="4"/>
        <v>13</v>
      </c>
      <c r="D186" s="65" t="s">
        <v>556</v>
      </c>
      <c r="E186" s="65"/>
      <c r="F186" s="65"/>
      <c r="G186" s="65"/>
      <c r="H186" s="65" t="s">
        <v>6</v>
      </c>
      <c r="I186" s="65" t="s">
        <v>6</v>
      </c>
      <c r="J186" s="65"/>
      <c r="K186" s="65"/>
      <c r="L186" s="65"/>
      <c r="M186" s="63"/>
      <c r="N186" s="65"/>
      <c r="O186" s="65"/>
    </row>
    <row r="187" spans="1:15">
      <c r="A187" s="66" t="s">
        <v>557</v>
      </c>
      <c r="B187" s="66" t="s">
        <v>558</v>
      </c>
      <c r="C187" s="64" t="str">
        <f t="shared" si="4"/>
        <v>13</v>
      </c>
      <c r="D187" s="65" t="s">
        <v>559</v>
      </c>
      <c r="E187" s="65"/>
      <c r="F187" s="65"/>
      <c r="G187" s="65"/>
      <c r="H187" s="65"/>
      <c r="I187" s="65" t="s">
        <v>6</v>
      </c>
      <c r="J187" s="65"/>
      <c r="K187" s="65"/>
      <c r="L187" s="65"/>
      <c r="M187" s="63"/>
      <c r="N187" s="65"/>
      <c r="O187" s="65"/>
    </row>
    <row r="188" spans="1:15">
      <c r="A188" s="66" t="s">
        <v>560</v>
      </c>
      <c r="B188" s="66" t="s">
        <v>561</v>
      </c>
      <c r="C188" s="64" t="str">
        <f t="shared" si="4"/>
        <v>14</v>
      </c>
      <c r="D188" s="65" t="s">
        <v>562</v>
      </c>
      <c r="E188" s="65"/>
      <c r="F188" s="65"/>
      <c r="G188" s="65" t="s">
        <v>6</v>
      </c>
      <c r="H188" s="65"/>
      <c r="I188" s="65"/>
      <c r="J188" s="65"/>
      <c r="K188" s="65"/>
      <c r="L188" s="65"/>
      <c r="M188" s="63"/>
      <c r="N188" s="65"/>
      <c r="O188" s="65"/>
    </row>
    <row r="189" spans="1:15">
      <c r="A189" s="66" t="s">
        <v>563</v>
      </c>
      <c r="B189" s="66" t="s">
        <v>564</v>
      </c>
      <c r="C189" s="64" t="str">
        <f t="shared" si="4"/>
        <v>13</v>
      </c>
      <c r="D189" s="65" t="s">
        <v>565</v>
      </c>
      <c r="E189" s="65"/>
      <c r="F189" s="65"/>
      <c r="G189" s="65" t="s">
        <v>6</v>
      </c>
      <c r="H189" s="65" t="s">
        <v>6</v>
      </c>
      <c r="I189" s="65" t="s">
        <v>6</v>
      </c>
      <c r="J189" s="65"/>
      <c r="K189" s="63" t="s">
        <v>6</v>
      </c>
      <c r="L189" s="65" t="s">
        <v>6</v>
      </c>
      <c r="M189" s="63"/>
      <c r="N189" s="63" t="s">
        <v>6</v>
      </c>
      <c r="O189" s="63" t="s">
        <v>6</v>
      </c>
    </row>
    <row r="190" spans="1:15" ht="15.75">
      <c r="A190" s="66" t="s">
        <v>566</v>
      </c>
      <c r="B190" s="66" t="s">
        <v>567</v>
      </c>
      <c r="C190" s="64" t="str">
        <f t="shared" si="4"/>
        <v>13</v>
      </c>
      <c r="D190" s="65" t="s">
        <v>568</v>
      </c>
      <c r="E190" s="65"/>
      <c r="F190" s="65"/>
      <c r="G190" s="65"/>
      <c r="H190" s="65"/>
      <c r="I190" s="65"/>
      <c r="J190" s="65"/>
      <c r="K190" s="65"/>
      <c r="L190" s="65"/>
      <c r="M190" s="63"/>
      <c r="N190" s="67" t="s">
        <v>6</v>
      </c>
      <c r="O190" s="65"/>
    </row>
    <row r="191" spans="1:15" ht="15.75">
      <c r="A191" s="66" t="s">
        <v>569</v>
      </c>
      <c r="B191" s="66" t="s">
        <v>570</v>
      </c>
      <c r="C191" s="64" t="str">
        <f t="shared" si="4"/>
        <v>13</v>
      </c>
      <c r="D191" s="65" t="s">
        <v>571</v>
      </c>
      <c r="E191" s="65"/>
      <c r="F191" s="65"/>
      <c r="G191" s="65" t="s">
        <v>6</v>
      </c>
      <c r="H191" s="65" t="s">
        <v>6</v>
      </c>
      <c r="I191" s="65" t="s">
        <v>6</v>
      </c>
      <c r="J191" s="65"/>
      <c r="K191" s="65"/>
      <c r="L191" s="65" t="s">
        <v>6</v>
      </c>
      <c r="M191" s="63"/>
      <c r="N191" s="67" t="s">
        <v>6</v>
      </c>
      <c r="O191" s="65"/>
    </row>
    <row r="192" spans="1:15">
      <c r="A192" s="64" t="s">
        <v>572</v>
      </c>
      <c r="B192" s="64" t="s">
        <v>573</v>
      </c>
      <c r="C192" s="64" t="str">
        <f t="shared" si="4"/>
        <v>13</v>
      </c>
      <c r="D192" s="63" t="s">
        <v>574</v>
      </c>
      <c r="E192" s="63"/>
      <c r="F192" s="63"/>
      <c r="G192" s="63" t="s">
        <v>6</v>
      </c>
      <c r="H192" s="63" t="s">
        <v>6</v>
      </c>
      <c r="I192" s="65" t="s">
        <v>6</v>
      </c>
      <c r="J192" s="63"/>
      <c r="K192" s="63"/>
      <c r="L192" s="65"/>
      <c r="M192" s="63"/>
      <c r="N192" s="65" t="s">
        <v>6</v>
      </c>
      <c r="O192" s="63" t="s">
        <v>6</v>
      </c>
    </row>
    <row r="193" spans="1:15">
      <c r="A193" s="66" t="s">
        <v>575</v>
      </c>
      <c r="B193" s="66" t="s">
        <v>576</v>
      </c>
      <c r="C193" s="64" t="str">
        <f t="shared" si="4"/>
        <v>13</v>
      </c>
      <c r="D193" s="65" t="s">
        <v>577</v>
      </c>
      <c r="E193" s="65"/>
      <c r="F193" s="65"/>
      <c r="G193" s="65"/>
      <c r="H193" s="65" t="s">
        <v>6</v>
      </c>
      <c r="I193" s="65"/>
      <c r="J193" s="65"/>
      <c r="K193" s="63" t="s">
        <v>6</v>
      </c>
      <c r="L193" s="65"/>
      <c r="M193" s="63"/>
      <c r="N193" s="63" t="s">
        <v>6</v>
      </c>
      <c r="O193" s="65"/>
    </row>
    <row r="194" spans="1:15">
      <c r="A194" s="66" t="s">
        <v>578</v>
      </c>
      <c r="B194" s="66" t="s">
        <v>579</v>
      </c>
      <c r="C194" s="64" t="str">
        <f t="shared" si="4"/>
        <v>13</v>
      </c>
      <c r="D194" s="65" t="s">
        <v>580</v>
      </c>
      <c r="E194" s="65"/>
      <c r="F194" s="65"/>
      <c r="G194" s="65" t="s">
        <v>6</v>
      </c>
      <c r="H194" s="65" t="s">
        <v>6</v>
      </c>
      <c r="I194" s="65" t="s">
        <v>6</v>
      </c>
      <c r="J194" s="65"/>
      <c r="K194" s="63" t="s">
        <v>6</v>
      </c>
      <c r="L194" s="65"/>
      <c r="M194" s="63"/>
      <c r="N194" s="65"/>
      <c r="O194" s="65"/>
    </row>
    <row r="195" spans="1:15">
      <c r="A195" s="66" t="s">
        <v>581</v>
      </c>
      <c r="B195" s="66" t="s">
        <v>582</v>
      </c>
      <c r="C195" s="64" t="str">
        <f t="shared" si="4"/>
        <v>12</v>
      </c>
      <c r="D195" s="65" t="s">
        <v>583</v>
      </c>
      <c r="E195" s="65"/>
      <c r="F195" s="65"/>
      <c r="G195" s="65"/>
      <c r="H195" s="65" t="s">
        <v>6</v>
      </c>
      <c r="I195" s="65"/>
      <c r="J195" s="65"/>
      <c r="K195" s="65"/>
      <c r="L195" s="65"/>
      <c r="M195" s="63"/>
      <c r="N195" s="65"/>
      <c r="O195" s="65"/>
    </row>
    <row r="196" spans="1:15" ht="15.75">
      <c r="A196" s="66" t="s">
        <v>584</v>
      </c>
      <c r="B196" s="66" t="s">
        <v>585</v>
      </c>
      <c r="C196" s="64" t="str">
        <f t="shared" si="4"/>
        <v>13</v>
      </c>
      <c r="D196" s="65" t="s">
        <v>586</v>
      </c>
      <c r="E196" s="65"/>
      <c r="F196" s="65"/>
      <c r="G196" s="65" t="s">
        <v>6</v>
      </c>
      <c r="H196" s="65" t="s">
        <v>6</v>
      </c>
      <c r="I196" s="65" t="s">
        <v>6</v>
      </c>
      <c r="J196" s="65"/>
      <c r="K196" s="65"/>
      <c r="L196" s="65"/>
      <c r="M196" s="63"/>
      <c r="N196" s="67" t="s">
        <v>6</v>
      </c>
      <c r="O196" s="65"/>
    </row>
    <row r="197" spans="1:15">
      <c r="A197" s="64" t="s">
        <v>587</v>
      </c>
      <c r="B197" s="64" t="s">
        <v>588</v>
      </c>
      <c r="C197" s="64" t="str">
        <f t="shared" si="4"/>
        <v>13</v>
      </c>
      <c r="D197" s="63" t="s">
        <v>589</v>
      </c>
      <c r="E197" s="63"/>
      <c r="F197" s="63"/>
      <c r="G197" s="65" t="s">
        <v>6</v>
      </c>
      <c r="H197" s="65" t="s">
        <v>6</v>
      </c>
      <c r="I197" s="63" t="s">
        <v>6</v>
      </c>
      <c r="J197" s="63"/>
      <c r="K197" s="63"/>
      <c r="L197" s="63"/>
      <c r="M197" s="63"/>
      <c r="N197" s="63"/>
      <c r="O197" s="63"/>
    </row>
    <row r="198" spans="1:15">
      <c r="A198" s="66" t="s">
        <v>590</v>
      </c>
      <c r="B198" s="66" t="s">
        <v>591</v>
      </c>
      <c r="C198" s="64" t="str">
        <f t="shared" si="4"/>
        <v>12</v>
      </c>
      <c r="D198" s="65" t="s">
        <v>592</v>
      </c>
      <c r="E198" s="65"/>
      <c r="F198" s="65"/>
      <c r="G198" s="65"/>
      <c r="H198" s="65" t="s">
        <v>6</v>
      </c>
      <c r="I198" s="65"/>
      <c r="J198" s="65"/>
      <c r="K198" s="65"/>
      <c r="L198" s="65"/>
      <c r="M198" s="63"/>
      <c r="N198" s="65"/>
      <c r="O198" s="65"/>
    </row>
    <row r="199" spans="1:15">
      <c r="A199" s="66" t="s">
        <v>593</v>
      </c>
      <c r="B199" s="66" t="s">
        <v>594</v>
      </c>
      <c r="C199" s="64" t="str">
        <f t="shared" si="4"/>
        <v>12</v>
      </c>
      <c r="D199" s="65" t="s">
        <v>595</v>
      </c>
      <c r="E199" s="65"/>
      <c r="F199" s="65"/>
      <c r="G199" s="65" t="s">
        <v>6</v>
      </c>
      <c r="H199" s="65" t="s">
        <v>6</v>
      </c>
      <c r="I199" s="65" t="s">
        <v>6</v>
      </c>
      <c r="J199" s="65"/>
      <c r="K199" s="65"/>
      <c r="L199" s="65"/>
      <c r="M199" s="63"/>
      <c r="N199" s="65"/>
      <c r="O199" s="65"/>
    </row>
    <row r="200" spans="1:15" ht="15.75">
      <c r="A200" s="64" t="s">
        <v>596</v>
      </c>
      <c r="B200" s="64" t="s">
        <v>597</v>
      </c>
      <c r="C200" s="64" t="str">
        <f t="shared" si="4"/>
        <v>13</v>
      </c>
      <c r="D200" s="63" t="s">
        <v>598</v>
      </c>
      <c r="E200" s="63"/>
      <c r="F200" s="63"/>
      <c r="G200" s="63" t="s">
        <v>6</v>
      </c>
      <c r="H200" s="63" t="s">
        <v>6</v>
      </c>
      <c r="I200" s="63" t="s">
        <v>6</v>
      </c>
      <c r="J200" s="63"/>
      <c r="K200" s="63"/>
      <c r="L200" s="65"/>
      <c r="M200" s="63"/>
      <c r="N200" s="67" t="s">
        <v>6</v>
      </c>
      <c r="O200" s="63"/>
    </row>
    <row r="201" spans="1:15">
      <c r="A201" s="66" t="s">
        <v>599</v>
      </c>
      <c r="B201" s="66" t="s">
        <v>600</v>
      </c>
      <c r="C201" s="64" t="str">
        <f t="shared" si="4"/>
        <v>13</v>
      </c>
      <c r="D201" s="65" t="s">
        <v>601</v>
      </c>
      <c r="E201" s="65"/>
      <c r="F201" s="65"/>
      <c r="G201" s="65"/>
      <c r="H201" s="65" t="s">
        <v>6</v>
      </c>
      <c r="I201" s="65" t="s">
        <v>6</v>
      </c>
      <c r="J201" s="65"/>
      <c r="K201" s="65"/>
      <c r="L201" s="65"/>
      <c r="M201" s="63"/>
      <c r="N201" s="65"/>
      <c r="O201" s="65"/>
    </row>
    <row r="202" spans="1:15">
      <c r="A202" s="66" t="s">
        <v>602</v>
      </c>
      <c r="B202" s="66" t="s">
        <v>603</v>
      </c>
      <c r="C202" s="64" t="str">
        <f t="shared" si="4"/>
        <v>12</v>
      </c>
      <c r="D202" s="65" t="s">
        <v>604</v>
      </c>
      <c r="E202" s="65"/>
      <c r="F202" s="65"/>
      <c r="G202" s="65" t="s">
        <v>6</v>
      </c>
      <c r="H202" s="65" t="s">
        <v>6</v>
      </c>
      <c r="I202" s="65" t="s">
        <v>6</v>
      </c>
      <c r="J202" s="65"/>
      <c r="K202" s="65"/>
      <c r="L202" s="65"/>
      <c r="M202" s="63"/>
      <c r="N202" s="65"/>
      <c r="O202" s="65"/>
    </row>
    <row r="203" spans="1:15">
      <c r="A203" s="66" t="s">
        <v>605</v>
      </c>
      <c r="B203" s="66" t="s">
        <v>606</v>
      </c>
      <c r="C203" s="64" t="str">
        <f t="shared" si="4"/>
        <v>13</v>
      </c>
      <c r="D203" s="65" t="s">
        <v>607</v>
      </c>
      <c r="E203" s="65"/>
      <c r="F203" s="65"/>
      <c r="G203" s="65" t="s">
        <v>6</v>
      </c>
      <c r="H203" s="65" t="s">
        <v>6</v>
      </c>
      <c r="I203" s="65" t="s">
        <v>6</v>
      </c>
      <c r="J203" s="65"/>
      <c r="K203" s="65"/>
      <c r="L203" s="65" t="s">
        <v>6</v>
      </c>
      <c r="M203" s="63"/>
      <c r="N203" s="65"/>
      <c r="O203" s="65"/>
    </row>
    <row r="204" spans="1:15">
      <c r="A204" s="66" t="s">
        <v>608</v>
      </c>
      <c r="B204" s="66" t="s">
        <v>609</v>
      </c>
      <c r="C204" s="64" t="str">
        <f t="shared" si="4"/>
        <v>12</v>
      </c>
      <c r="D204" s="65" t="s">
        <v>610</v>
      </c>
      <c r="E204" s="65"/>
      <c r="F204" s="65"/>
      <c r="G204" s="65" t="s">
        <v>6</v>
      </c>
      <c r="H204" s="65" t="s">
        <v>6</v>
      </c>
      <c r="I204" s="65" t="s">
        <v>6</v>
      </c>
      <c r="J204" s="65"/>
      <c r="K204" s="65"/>
      <c r="L204" s="65"/>
      <c r="M204" s="63"/>
      <c r="N204" s="65"/>
      <c r="O204" s="65"/>
    </row>
    <row r="205" spans="1:15">
      <c r="A205" s="66" t="s">
        <v>611</v>
      </c>
      <c r="B205" s="66" t="s">
        <v>612</v>
      </c>
      <c r="C205" s="64" t="str">
        <f t="shared" si="4"/>
        <v>12</v>
      </c>
      <c r="D205" s="65" t="s">
        <v>613</v>
      </c>
      <c r="E205" s="65"/>
      <c r="F205" s="65"/>
      <c r="G205" s="65" t="s">
        <v>6</v>
      </c>
      <c r="H205" s="65" t="s">
        <v>6</v>
      </c>
      <c r="I205" s="65" t="s">
        <v>6</v>
      </c>
      <c r="J205" s="65"/>
      <c r="K205" s="65"/>
      <c r="L205" s="65"/>
      <c r="M205" s="63"/>
      <c r="N205" s="65"/>
      <c r="O205" s="65"/>
    </row>
    <row r="206" spans="1:15">
      <c r="A206" s="66" t="s">
        <v>614</v>
      </c>
      <c r="B206" s="66" t="s">
        <v>615</v>
      </c>
      <c r="C206" s="64" t="str">
        <f t="shared" si="4"/>
        <v>13</v>
      </c>
      <c r="D206" s="65" t="s">
        <v>616</v>
      </c>
      <c r="E206" s="65"/>
      <c r="F206" s="65"/>
      <c r="G206" s="65" t="s">
        <v>6</v>
      </c>
      <c r="H206" s="65" t="s">
        <v>6</v>
      </c>
      <c r="I206" s="65" t="s">
        <v>6</v>
      </c>
      <c r="J206" s="65"/>
      <c r="K206" s="65"/>
      <c r="L206" s="65" t="s">
        <v>6</v>
      </c>
      <c r="M206" s="63"/>
      <c r="N206" s="63" t="s">
        <v>6</v>
      </c>
      <c r="O206" s="63"/>
    </row>
    <row r="207" spans="1:15">
      <c r="A207" s="66" t="s">
        <v>617</v>
      </c>
      <c r="B207" s="66" t="s">
        <v>618</v>
      </c>
      <c r="C207" s="64" t="str">
        <f t="shared" si="4"/>
        <v>12</v>
      </c>
      <c r="D207" s="65" t="s">
        <v>619</v>
      </c>
      <c r="E207" s="65"/>
      <c r="F207" s="65"/>
      <c r="G207" s="65"/>
      <c r="H207" s="65" t="s">
        <v>6</v>
      </c>
      <c r="I207" s="65"/>
      <c r="J207" s="65"/>
      <c r="K207" s="65"/>
      <c r="L207" s="65"/>
      <c r="M207" s="63"/>
      <c r="N207" s="65"/>
      <c r="O207" s="65"/>
    </row>
    <row r="208" spans="1:15">
      <c r="A208" s="66" t="s">
        <v>620</v>
      </c>
      <c r="B208" s="66" t="s">
        <v>621</v>
      </c>
      <c r="C208" s="64" t="str">
        <f t="shared" si="4"/>
        <v>12</v>
      </c>
      <c r="D208" s="65" t="s">
        <v>622</v>
      </c>
      <c r="E208" s="65"/>
      <c r="F208" s="65"/>
      <c r="G208" s="65"/>
      <c r="H208" s="65" t="s">
        <v>6</v>
      </c>
      <c r="I208" s="65" t="s">
        <v>6</v>
      </c>
      <c r="J208" s="65"/>
      <c r="K208" s="65"/>
      <c r="L208" s="65"/>
      <c r="M208" s="63"/>
      <c r="N208" s="65"/>
      <c r="O208" s="65"/>
    </row>
    <row r="209" spans="1:15">
      <c r="A209" s="66" t="s">
        <v>623</v>
      </c>
      <c r="B209" s="66" t="s">
        <v>624</v>
      </c>
      <c r="C209" s="64" t="str">
        <f t="shared" si="4"/>
        <v>13</v>
      </c>
      <c r="D209" s="65" t="s">
        <v>625</v>
      </c>
      <c r="E209" s="65"/>
      <c r="F209" s="65"/>
      <c r="G209" s="65"/>
      <c r="H209" s="65" t="s">
        <v>6</v>
      </c>
      <c r="I209" s="65" t="s">
        <v>6</v>
      </c>
      <c r="J209" s="65"/>
      <c r="K209" s="65"/>
      <c r="L209" s="65" t="s">
        <v>6</v>
      </c>
      <c r="M209" s="63"/>
      <c r="N209" s="65"/>
      <c r="O209" s="65"/>
    </row>
    <row r="210" spans="1:15">
      <c r="A210" s="66" t="s">
        <v>626</v>
      </c>
      <c r="B210" s="66" t="s">
        <v>627</v>
      </c>
      <c r="C210" s="64" t="str">
        <f t="shared" si="4"/>
        <v>12</v>
      </c>
      <c r="D210" s="65" t="s">
        <v>628</v>
      </c>
      <c r="E210" s="65"/>
      <c r="F210" s="65"/>
      <c r="G210" s="65" t="s">
        <v>6</v>
      </c>
      <c r="H210" s="65" t="s">
        <v>6</v>
      </c>
      <c r="I210" s="65" t="s">
        <v>6</v>
      </c>
      <c r="J210" s="65"/>
      <c r="K210" s="65"/>
      <c r="L210" s="65"/>
      <c r="M210" s="63"/>
      <c r="N210" s="65"/>
      <c r="O210" s="65"/>
    </row>
    <row r="211" spans="1:15">
      <c r="A211" s="66" t="s">
        <v>629</v>
      </c>
      <c r="B211" s="66" t="s">
        <v>630</v>
      </c>
      <c r="C211" s="64" t="str">
        <f t="shared" si="4"/>
        <v>12</v>
      </c>
      <c r="D211" s="65" t="s">
        <v>631</v>
      </c>
      <c r="E211" s="65"/>
      <c r="F211" s="65"/>
      <c r="G211" s="65"/>
      <c r="H211" s="65" t="s">
        <v>6</v>
      </c>
      <c r="I211" s="65"/>
      <c r="J211" s="65"/>
      <c r="K211" s="65"/>
      <c r="L211" s="65"/>
      <c r="M211" s="63"/>
      <c r="N211" s="65"/>
      <c r="O211" s="65"/>
    </row>
    <row r="212" spans="1:15">
      <c r="A212" s="66" t="s">
        <v>632</v>
      </c>
      <c r="B212" s="66" t="s">
        <v>633</v>
      </c>
      <c r="C212" s="64" t="str">
        <f t="shared" si="4"/>
        <v>12</v>
      </c>
      <c r="D212" s="65" t="s">
        <v>634</v>
      </c>
      <c r="E212" s="65"/>
      <c r="F212" s="65"/>
      <c r="G212" s="65"/>
      <c r="H212" s="65" t="s">
        <v>6</v>
      </c>
      <c r="I212" s="65"/>
      <c r="J212" s="65"/>
      <c r="K212" s="65"/>
      <c r="L212" s="65"/>
      <c r="M212" s="63"/>
      <c r="N212" s="65"/>
      <c r="O212" s="65"/>
    </row>
    <row r="213" spans="1:15">
      <c r="A213" s="64" t="s">
        <v>635</v>
      </c>
      <c r="B213" s="64" t="s">
        <v>636</v>
      </c>
      <c r="C213" s="64" t="str">
        <f t="shared" si="4"/>
        <v>18</v>
      </c>
      <c r="D213" s="63" t="s">
        <v>637</v>
      </c>
      <c r="E213" s="63"/>
      <c r="F213" s="63" t="s">
        <v>6</v>
      </c>
      <c r="G213" s="63"/>
      <c r="H213" s="63"/>
      <c r="I213" s="63"/>
      <c r="J213" s="63"/>
      <c r="K213" s="63"/>
      <c r="L213" s="63"/>
      <c r="M213" s="63" t="s">
        <v>6</v>
      </c>
      <c r="N213" s="65"/>
      <c r="O213" s="65"/>
    </row>
    <row r="214" spans="1:15">
      <c r="A214" s="66" t="s">
        <v>638</v>
      </c>
      <c r="B214" s="66" t="s">
        <v>639</v>
      </c>
      <c r="C214" s="64" t="str">
        <f t="shared" si="4"/>
        <v>17</v>
      </c>
      <c r="D214" s="65" t="s">
        <v>640</v>
      </c>
      <c r="E214" s="65" t="s">
        <v>6</v>
      </c>
      <c r="F214" s="65" t="s">
        <v>6</v>
      </c>
      <c r="G214" s="65"/>
      <c r="H214" s="65"/>
      <c r="I214" s="65"/>
      <c r="J214" s="65"/>
      <c r="K214" s="65"/>
      <c r="L214" s="65"/>
      <c r="M214" s="63"/>
      <c r="N214" s="65"/>
      <c r="O214" s="65"/>
    </row>
    <row r="215" spans="1:15" ht="15.75">
      <c r="A215" s="68" t="s">
        <v>641</v>
      </c>
      <c r="B215" s="69" t="s">
        <v>642</v>
      </c>
      <c r="C215" s="70">
        <v>12</v>
      </c>
      <c r="D215" s="68" t="s">
        <v>643</v>
      </c>
      <c r="E215" s="71"/>
      <c r="F215" s="71"/>
      <c r="G215" s="72" t="s">
        <v>6</v>
      </c>
      <c r="H215" s="72" t="s">
        <v>6</v>
      </c>
      <c r="I215" s="71"/>
      <c r="J215" s="71"/>
      <c r="K215" s="72" t="s">
        <v>6</v>
      </c>
      <c r="L215" s="72"/>
      <c r="M215" s="71"/>
      <c r="N215" s="71"/>
      <c r="O215" s="71"/>
    </row>
    <row r="216" spans="1:15">
      <c r="A216" s="73" t="s">
        <v>644</v>
      </c>
      <c r="B216" s="74" t="s">
        <v>645</v>
      </c>
      <c r="C216" s="70">
        <v>14</v>
      </c>
      <c r="D216" s="71" t="s">
        <v>646</v>
      </c>
      <c r="E216" s="71"/>
      <c r="F216" s="71"/>
      <c r="G216" s="71"/>
      <c r="H216" s="72" t="s">
        <v>6</v>
      </c>
      <c r="I216" s="72" t="s">
        <v>6</v>
      </c>
      <c r="J216" s="72" t="s">
        <v>6</v>
      </c>
      <c r="K216" s="71"/>
      <c r="L216" s="72"/>
      <c r="M216" s="71"/>
      <c r="N216" s="72" t="s">
        <v>6</v>
      </c>
      <c r="O216" s="71"/>
    </row>
    <row r="217" spans="1:15">
      <c r="A217" s="73" t="s">
        <v>647</v>
      </c>
      <c r="B217" s="73" t="s">
        <v>648</v>
      </c>
      <c r="C217" s="70">
        <v>16</v>
      </c>
      <c r="D217" s="75" t="s">
        <v>649</v>
      </c>
      <c r="E217" s="75"/>
      <c r="F217" s="72" t="s">
        <v>6</v>
      </c>
      <c r="G217" s="75"/>
      <c r="H217" s="75"/>
      <c r="I217" s="75"/>
      <c r="J217" s="75"/>
      <c r="K217" s="75"/>
      <c r="L217" s="75"/>
      <c r="M217" s="75"/>
      <c r="N217" s="75"/>
      <c r="O217" s="75"/>
    </row>
    <row r="218" spans="1:15">
      <c r="A218" s="73" t="s">
        <v>650</v>
      </c>
      <c r="B218" s="73" t="s">
        <v>651</v>
      </c>
      <c r="C218" s="70">
        <v>15</v>
      </c>
      <c r="D218" s="75" t="s">
        <v>652</v>
      </c>
      <c r="E218" s="75"/>
      <c r="F218" s="75"/>
      <c r="G218" s="72" t="s">
        <v>6</v>
      </c>
      <c r="H218" s="75"/>
      <c r="I218" s="75"/>
      <c r="J218" s="75"/>
      <c r="K218" s="75"/>
      <c r="L218" s="75"/>
      <c r="M218" s="75"/>
      <c r="N218" s="75"/>
      <c r="O218" s="75"/>
    </row>
    <row r="219" spans="1:15">
      <c r="A219" s="73" t="s">
        <v>653</v>
      </c>
      <c r="B219" s="73" t="s">
        <v>654</v>
      </c>
      <c r="C219" s="70">
        <v>16</v>
      </c>
      <c r="D219" s="75" t="s">
        <v>655</v>
      </c>
      <c r="E219" s="75"/>
      <c r="F219" s="72" t="s">
        <v>6</v>
      </c>
      <c r="G219" s="75"/>
      <c r="H219" s="75"/>
      <c r="I219" s="75"/>
      <c r="J219" s="75"/>
      <c r="K219" s="75"/>
      <c r="L219" s="75"/>
      <c r="M219" s="75"/>
      <c r="N219" s="75"/>
      <c r="O219" s="75"/>
    </row>
    <row r="220" spans="1:15">
      <c r="A220" s="73" t="s">
        <v>656</v>
      </c>
      <c r="B220" s="73" t="s">
        <v>657</v>
      </c>
      <c r="C220" s="70">
        <v>15</v>
      </c>
      <c r="D220" s="75" t="s">
        <v>362</v>
      </c>
      <c r="E220" s="75"/>
      <c r="F220" s="75"/>
      <c r="G220" s="72" t="s">
        <v>6</v>
      </c>
      <c r="H220" s="75"/>
      <c r="I220" s="75"/>
      <c r="J220" s="75"/>
      <c r="K220" s="75"/>
      <c r="L220" s="72" t="s">
        <v>6</v>
      </c>
      <c r="M220" s="75"/>
      <c r="N220" s="75"/>
      <c r="O220" s="75"/>
    </row>
    <row r="221" spans="1:15">
      <c r="A221" s="73" t="s">
        <v>658</v>
      </c>
      <c r="B221" s="73" t="s">
        <v>659</v>
      </c>
      <c r="C221" s="70">
        <v>18</v>
      </c>
      <c r="D221" s="75" t="s">
        <v>660</v>
      </c>
      <c r="E221" s="75"/>
      <c r="F221" s="72" t="s">
        <v>6</v>
      </c>
      <c r="G221" s="75"/>
      <c r="H221" s="75"/>
      <c r="I221" s="75"/>
      <c r="J221" s="75"/>
      <c r="K221" s="75"/>
      <c r="L221" s="75"/>
      <c r="M221" s="75"/>
      <c r="N221" s="75"/>
      <c r="O221" s="75"/>
    </row>
    <row r="222" spans="1:15">
      <c r="A222" s="73" t="s">
        <v>661</v>
      </c>
      <c r="B222" s="73" t="s">
        <v>662</v>
      </c>
      <c r="C222" s="70">
        <v>17</v>
      </c>
      <c r="D222" s="75" t="s">
        <v>663</v>
      </c>
      <c r="E222" s="72" t="s">
        <v>6</v>
      </c>
      <c r="F222" s="72" t="s">
        <v>6</v>
      </c>
      <c r="G222" s="75"/>
      <c r="H222" s="75"/>
      <c r="I222" s="75"/>
      <c r="J222" s="75"/>
      <c r="K222" s="75"/>
      <c r="L222" s="75"/>
      <c r="M222" s="75"/>
      <c r="N222" s="75"/>
      <c r="O222" s="75"/>
    </row>
    <row r="223" spans="1:15">
      <c r="A223" s="73" t="s">
        <v>664</v>
      </c>
      <c r="B223" s="73" t="s">
        <v>665</v>
      </c>
      <c r="C223" s="70">
        <v>16</v>
      </c>
      <c r="D223" s="75" t="s">
        <v>666</v>
      </c>
      <c r="E223" s="72" t="s">
        <v>6</v>
      </c>
      <c r="F223" s="72" t="s">
        <v>6</v>
      </c>
      <c r="G223" s="72" t="s">
        <v>6</v>
      </c>
      <c r="H223" s="75"/>
      <c r="I223" s="75"/>
      <c r="J223" s="75"/>
      <c r="K223" s="75"/>
      <c r="L223" s="72" t="s">
        <v>6</v>
      </c>
      <c r="M223" s="75"/>
      <c r="N223" s="75"/>
      <c r="O223" s="72" t="s">
        <v>6</v>
      </c>
    </row>
    <row r="224" spans="1:15">
      <c r="A224" s="73" t="s">
        <v>667</v>
      </c>
      <c r="B224" s="73" t="s">
        <v>668</v>
      </c>
      <c r="C224" s="70">
        <v>17</v>
      </c>
      <c r="D224" s="75" t="s">
        <v>63</v>
      </c>
      <c r="E224" s="75"/>
      <c r="F224" s="72" t="s">
        <v>6</v>
      </c>
      <c r="G224" s="75"/>
      <c r="H224" s="75"/>
      <c r="I224" s="75"/>
      <c r="J224" s="75"/>
      <c r="K224" s="75"/>
      <c r="L224" s="75"/>
      <c r="M224" s="75"/>
      <c r="N224" s="75"/>
      <c r="O224" s="75"/>
    </row>
    <row r="225" spans="1:15">
      <c r="A225" s="73" t="s">
        <v>669</v>
      </c>
      <c r="B225" s="73" t="s">
        <v>670</v>
      </c>
      <c r="C225" s="70">
        <v>18</v>
      </c>
      <c r="D225" s="75" t="s">
        <v>671</v>
      </c>
      <c r="E225" s="75"/>
      <c r="F225" s="72" t="s">
        <v>6</v>
      </c>
      <c r="G225" s="75"/>
      <c r="H225" s="75"/>
      <c r="I225" s="75"/>
      <c r="J225" s="75"/>
      <c r="K225" s="75"/>
      <c r="L225" s="75"/>
      <c r="M225" s="75"/>
      <c r="N225" s="75"/>
      <c r="O225" s="75"/>
    </row>
    <row r="226" spans="1:15">
      <c r="A226" s="73" t="s">
        <v>672</v>
      </c>
      <c r="B226" s="73" t="s">
        <v>673</v>
      </c>
      <c r="C226" s="70">
        <v>16</v>
      </c>
      <c r="D226" s="75" t="s">
        <v>674</v>
      </c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2" t="s">
        <v>6</v>
      </c>
    </row>
    <row r="227" spans="1:15">
      <c r="A227" s="73" t="s">
        <v>675</v>
      </c>
      <c r="B227" s="73" t="s">
        <v>676</v>
      </c>
      <c r="C227" s="70">
        <v>14</v>
      </c>
      <c r="D227" s="75" t="s">
        <v>677</v>
      </c>
      <c r="E227" s="75"/>
      <c r="F227" s="75"/>
      <c r="G227" s="75"/>
      <c r="H227" s="72" t="s">
        <v>6</v>
      </c>
      <c r="I227" s="72" t="s">
        <v>6</v>
      </c>
      <c r="J227" s="72" t="s">
        <v>6</v>
      </c>
      <c r="K227" s="75"/>
      <c r="L227" s="75"/>
      <c r="M227" s="75"/>
      <c r="N227" s="72" t="s">
        <v>6</v>
      </c>
      <c r="O227" s="75"/>
    </row>
    <row r="228" spans="1:15">
      <c r="A228" s="73" t="s">
        <v>678</v>
      </c>
      <c r="B228" s="73" t="s">
        <v>679</v>
      </c>
      <c r="C228" s="70">
        <v>13</v>
      </c>
      <c r="D228" s="75" t="s">
        <v>680</v>
      </c>
      <c r="E228" s="75"/>
      <c r="F228" s="75"/>
      <c r="G228" s="75"/>
      <c r="H228" s="72" t="s">
        <v>6</v>
      </c>
      <c r="I228" s="72" t="s">
        <v>6</v>
      </c>
      <c r="J228" s="72" t="s">
        <v>6</v>
      </c>
      <c r="K228" s="75"/>
      <c r="L228" s="75"/>
      <c r="M228" s="75"/>
      <c r="N228" s="72" t="s">
        <v>6</v>
      </c>
      <c r="O228" s="75"/>
    </row>
    <row r="229" spans="1:15">
      <c r="A229" s="73" t="s">
        <v>681</v>
      </c>
      <c r="B229" s="73" t="s">
        <v>682</v>
      </c>
      <c r="C229" s="70">
        <v>14</v>
      </c>
      <c r="D229" s="75" t="s">
        <v>683</v>
      </c>
      <c r="E229" s="75"/>
      <c r="F229" s="75"/>
      <c r="G229" s="75"/>
      <c r="H229" s="72" t="s">
        <v>6</v>
      </c>
      <c r="I229" s="72" t="s">
        <v>6</v>
      </c>
      <c r="J229" s="72" t="s">
        <v>6</v>
      </c>
      <c r="K229" s="75"/>
      <c r="L229" s="75"/>
      <c r="M229" s="75"/>
      <c r="N229" s="72" t="s">
        <v>6</v>
      </c>
      <c r="O229" s="75"/>
    </row>
    <row r="230" spans="1:15">
      <c r="A230" s="73" t="s">
        <v>684</v>
      </c>
      <c r="B230" s="73" t="s">
        <v>543</v>
      </c>
      <c r="C230" s="70">
        <v>13</v>
      </c>
      <c r="D230" s="75" t="s">
        <v>685</v>
      </c>
      <c r="E230" s="75"/>
      <c r="F230" s="75"/>
      <c r="G230" s="75"/>
      <c r="H230" s="72" t="s">
        <v>6</v>
      </c>
      <c r="I230" s="72" t="s">
        <v>6</v>
      </c>
      <c r="J230" s="72" t="s">
        <v>6</v>
      </c>
      <c r="K230" s="75"/>
      <c r="L230" s="75"/>
      <c r="M230" s="75"/>
      <c r="N230" s="72" t="s">
        <v>6</v>
      </c>
      <c r="O230" s="75"/>
    </row>
    <row r="231" spans="1:15">
      <c r="A231" s="73" t="s">
        <v>686</v>
      </c>
      <c r="B231" s="73" t="s">
        <v>687</v>
      </c>
      <c r="C231" s="70">
        <v>14</v>
      </c>
      <c r="D231" s="75" t="s">
        <v>688</v>
      </c>
      <c r="E231" s="75"/>
      <c r="F231" s="75"/>
      <c r="G231" s="75"/>
      <c r="H231" s="72" t="s">
        <v>6</v>
      </c>
      <c r="I231" s="72" t="s">
        <v>6</v>
      </c>
      <c r="J231" s="72" t="s">
        <v>6</v>
      </c>
      <c r="K231" s="75"/>
      <c r="L231" s="75"/>
      <c r="M231" s="75"/>
      <c r="N231" s="72" t="s">
        <v>6</v>
      </c>
      <c r="O231" s="75"/>
    </row>
    <row r="232" spans="1:15">
      <c r="A232" s="73" t="s">
        <v>689</v>
      </c>
      <c r="B232" s="73" t="s">
        <v>690</v>
      </c>
      <c r="C232" s="70">
        <v>13</v>
      </c>
      <c r="D232" s="75" t="s">
        <v>547</v>
      </c>
      <c r="E232" s="75"/>
      <c r="F232" s="75"/>
      <c r="G232" s="72" t="s">
        <v>6</v>
      </c>
      <c r="H232" s="72" t="s">
        <v>6</v>
      </c>
      <c r="I232" s="72" t="s">
        <v>6</v>
      </c>
      <c r="J232" s="75"/>
      <c r="K232" s="75"/>
      <c r="L232" s="75"/>
      <c r="M232" s="75"/>
      <c r="N232" s="72" t="s">
        <v>6</v>
      </c>
      <c r="O232" s="75"/>
    </row>
    <row r="233" spans="1:15">
      <c r="A233" s="73" t="s">
        <v>691</v>
      </c>
      <c r="B233" s="73" t="s">
        <v>692</v>
      </c>
      <c r="C233" s="70">
        <v>14</v>
      </c>
      <c r="D233" s="75" t="s">
        <v>395</v>
      </c>
      <c r="E233" s="75"/>
      <c r="F233" s="75"/>
      <c r="G233" s="72" t="s">
        <v>6</v>
      </c>
      <c r="H233" s="75"/>
      <c r="I233" s="72" t="s">
        <v>6</v>
      </c>
      <c r="J233" s="72" t="s">
        <v>6</v>
      </c>
      <c r="K233" s="72" t="s">
        <v>6</v>
      </c>
      <c r="L233" s="75"/>
      <c r="M233" s="72" t="s">
        <v>6</v>
      </c>
      <c r="N233" s="72" t="s">
        <v>6</v>
      </c>
      <c r="O233" s="75"/>
    </row>
    <row r="234" spans="1:15">
      <c r="A234" s="73" t="s">
        <v>693</v>
      </c>
      <c r="B234" s="73" t="s">
        <v>694</v>
      </c>
      <c r="C234" s="70">
        <v>14</v>
      </c>
      <c r="D234" s="75" t="s">
        <v>695</v>
      </c>
      <c r="E234" s="75"/>
      <c r="F234" s="75"/>
      <c r="G234" s="72" t="s">
        <v>6</v>
      </c>
      <c r="H234" s="72" t="s">
        <v>6</v>
      </c>
      <c r="I234" s="72" t="s">
        <v>6</v>
      </c>
      <c r="J234" s="75"/>
      <c r="K234" s="75"/>
      <c r="L234" s="75"/>
      <c r="M234" s="72" t="s">
        <v>6</v>
      </c>
      <c r="N234" s="75"/>
      <c r="O234" s="75"/>
    </row>
    <row r="235" spans="1:15">
      <c r="A235" s="73" t="s">
        <v>696</v>
      </c>
      <c r="B235" s="73" t="s">
        <v>697</v>
      </c>
      <c r="C235" s="70">
        <v>14</v>
      </c>
      <c r="D235" s="75" t="s">
        <v>698</v>
      </c>
      <c r="E235" s="75"/>
      <c r="F235" s="75"/>
      <c r="G235" s="72" t="s">
        <v>6</v>
      </c>
      <c r="H235" s="72" t="s">
        <v>6</v>
      </c>
      <c r="I235" s="72" t="s">
        <v>6</v>
      </c>
      <c r="J235" s="75"/>
      <c r="K235" s="75"/>
      <c r="L235" s="75"/>
      <c r="M235" s="72" t="s">
        <v>6</v>
      </c>
      <c r="N235" s="75"/>
      <c r="O235" s="75"/>
    </row>
    <row r="236" spans="1:15">
      <c r="A236" s="73" t="s">
        <v>699</v>
      </c>
      <c r="B236" s="73" t="s">
        <v>700</v>
      </c>
      <c r="C236" s="70">
        <v>15</v>
      </c>
      <c r="D236" s="75" t="s">
        <v>701</v>
      </c>
      <c r="E236" s="75"/>
      <c r="F236" s="72" t="s">
        <v>6</v>
      </c>
      <c r="G236" s="72" t="s">
        <v>6</v>
      </c>
      <c r="H236" s="72" t="s">
        <v>6</v>
      </c>
      <c r="I236" s="72" t="s">
        <v>6</v>
      </c>
      <c r="J236" s="72" t="s">
        <v>6</v>
      </c>
      <c r="K236" s="75"/>
      <c r="L236" s="72" t="s">
        <v>6</v>
      </c>
      <c r="M236" s="72" t="s">
        <v>6</v>
      </c>
      <c r="N236" s="72" t="s">
        <v>6</v>
      </c>
      <c r="O236" s="72" t="s">
        <v>6</v>
      </c>
    </row>
    <row r="237" spans="1:15">
      <c r="A237" s="73" t="s">
        <v>702</v>
      </c>
      <c r="B237" s="73" t="s">
        <v>703</v>
      </c>
      <c r="C237" s="70">
        <v>16</v>
      </c>
      <c r="D237" s="75" t="s">
        <v>704</v>
      </c>
      <c r="E237" s="75"/>
      <c r="F237" s="72" t="s">
        <v>6</v>
      </c>
      <c r="G237" s="72" t="s">
        <v>6</v>
      </c>
      <c r="H237" s="72" t="s">
        <v>6</v>
      </c>
      <c r="I237" s="72" t="s">
        <v>6</v>
      </c>
      <c r="J237" s="72" t="s">
        <v>6</v>
      </c>
      <c r="K237" s="75"/>
      <c r="L237" s="72" t="s">
        <v>6</v>
      </c>
      <c r="M237" s="72" t="s">
        <v>6</v>
      </c>
      <c r="N237" s="72" t="s">
        <v>6</v>
      </c>
      <c r="O237" s="72" t="s">
        <v>6</v>
      </c>
    </row>
    <row r="238" spans="1:15">
      <c r="A238" s="73" t="s">
        <v>705</v>
      </c>
      <c r="B238" s="73" t="s">
        <v>706</v>
      </c>
      <c r="C238" s="70">
        <v>18</v>
      </c>
      <c r="D238" s="75" t="s">
        <v>707</v>
      </c>
      <c r="E238" s="75"/>
      <c r="F238" s="72" t="s">
        <v>6</v>
      </c>
      <c r="G238" s="75"/>
      <c r="H238" s="75"/>
      <c r="I238" s="75"/>
      <c r="J238" s="75"/>
      <c r="K238" s="75"/>
      <c r="L238" s="72" t="s">
        <v>6</v>
      </c>
      <c r="M238" s="72" t="s">
        <v>6</v>
      </c>
      <c r="N238" s="75"/>
      <c r="O238" s="72" t="s">
        <v>6</v>
      </c>
    </row>
    <row r="239" spans="1:15">
      <c r="A239" s="73" t="s">
        <v>708</v>
      </c>
      <c r="B239" s="73" t="s">
        <v>709</v>
      </c>
      <c r="C239" s="70">
        <v>12</v>
      </c>
      <c r="D239" s="75" t="s">
        <v>710</v>
      </c>
      <c r="E239" s="75"/>
      <c r="F239" s="75"/>
      <c r="G239" s="75"/>
      <c r="H239" s="72" t="s">
        <v>6</v>
      </c>
      <c r="I239" s="72" t="s">
        <v>6</v>
      </c>
      <c r="J239" s="75"/>
      <c r="K239" s="75"/>
      <c r="L239" s="75"/>
      <c r="M239" s="75"/>
      <c r="N239" s="75"/>
      <c r="O239" s="72" t="s">
        <v>6</v>
      </c>
    </row>
    <row r="240" spans="1:15">
      <c r="A240" s="73" t="s">
        <v>711</v>
      </c>
      <c r="B240" s="73" t="s">
        <v>712</v>
      </c>
      <c r="C240" s="70">
        <v>16</v>
      </c>
      <c r="D240" s="75" t="s">
        <v>713</v>
      </c>
      <c r="E240" s="75"/>
      <c r="F240" s="75"/>
      <c r="G240" s="72" t="s">
        <v>6</v>
      </c>
      <c r="H240" s="75"/>
      <c r="I240" s="75"/>
      <c r="J240" s="75"/>
      <c r="K240" s="75"/>
      <c r="L240" s="75"/>
      <c r="M240" s="75"/>
      <c r="N240" s="75"/>
      <c r="O240" s="75"/>
    </row>
    <row r="241" spans="1:15">
      <c r="A241" s="73" t="s">
        <v>714</v>
      </c>
      <c r="B241" s="73" t="s">
        <v>715</v>
      </c>
      <c r="C241" s="70">
        <v>13</v>
      </c>
      <c r="D241" s="75" t="s">
        <v>716</v>
      </c>
      <c r="E241" s="75"/>
      <c r="F241" s="75"/>
      <c r="G241" s="72" t="s">
        <v>6</v>
      </c>
      <c r="H241" s="72" t="s">
        <v>6</v>
      </c>
      <c r="I241" s="72" t="s">
        <v>6</v>
      </c>
      <c r="J241" s="75"/>
      <c r="K241" s="75"/>
      <c r="L241" s="72" t="s">
        <v>6</v>
      </c>
      <c r="M241" s="75"/>
      <c r="N241" s="72" t="s">
        <v>6</v>
      </c>
      <c r="O241" s="75"/>
    </row>
    <row r="242" spans="1:15">
      <c r="A242" s="73" t="s">
        <v>717</v>
      </c>
      <c r="B242" s="73" t="s">
        <v>718</v>
      </c>
      <c r="C242" s="70">
        <v>17</v>
      </c>
      <c r="D242" s="75" t="s">
        <v>719</v>
      </c>
      <c r="E242" s="75"/>
      <c r="F242" s="72" t="s">
        <v>6</v>
      </c>
      <c r="G242" s="75"/>
      <c r="H242" s="75"/>
      <c r="I242" s="75"/>
      <c r="J242" s="75"/>
      <c r="K242" s="75"/>
      <c r="L242" s="72" t="s">
        <v>6</v>
      </c>
      <c r="M242" s="72" t="s">
        <v>6</v>
      </c>
      <c r="N242" s="75"/>
      <c r="O242" s="72" t="s">
        <v>6</v>
      </c>
    </row>
    <row r="243" spans="1:15">
      <c r="A243" s="73" t="s">
        <v>720</v>
      </c>
      <c r="B243" s="73" t="s">
        <v>721</v>
      </c>
      <c r="C243" s="70">
        <v>18</v>
      </c>
      <c r="D243" s="75" t="s">
        <v>722</v>
      </c>
      <c r="E243" s="75"/>
      <c r="F243" s="72" t="s">
        <v>6</v>
      </c>
      <c r="G243" s="75"/>
      <c r="H243" s="75"/>
      <c r="I243" s="75"/>
      <c r="J243" s="75"/>
      <c r="K243" s="75"/>
      <c r="L243" s="71"/>
      <c r="M243" s="72" t="s">
        <v>6</v>
      </c>
      <c r="N243" s="72" t="s">
        <v>6</v>
      </c>
      <c r="O243" s="72" t="s">
        <v>6</v>
      </c>
    </row>
    <row r="244" spans="1:15">
      <c r="A244" s="73" t="s">
        <v>723</v>
      </c>
      <c r="B244" s="73" t="s">
        <v>724</v>
      </c>
      <c r="C244" s="70">
        <v>17</v>
      </c>
      <c r="D244" s="75" t="s">
        <v>725</v>
      </c>
      <c r="E244" s="73"/>
      <c r="F244" s="72" t="s">
        <v>6</v>
      </c>
      <c r="G244" s="75"/>
      <c r="H244" s="75"/>
      <c r="I244" s="75"/>
      <c r="J244" s="75"/>
      <c r="K244" s="75"/>
      <c r="L244" s="72" t="s">
        <v>6</v>
      </c>
      <c r="M244" s="72" t="s">
        <v>6</v>
      </c>
      <c r="N244" s="75"/>
      <c r="O244" s="72" t="s">
        <v>6</v>
      </c>
    </row>
    <row r="245" spans="1:15">
      <c r="A245" s="73" t="s">
        <v>726</v>
      </c>
      <c r="B245" s="73" t="s">
        <v>727</v>
      </c>
      <c r="C245" s="70">
        <v>16</v>
      </c>
      <c r="D245" s="75" t="s">
        <v>728</v>
      </c>
      <c r="E245" s="73"/>
      <c r="F245" s="72" t="s">
        <v>6</v>
      </c>
      <c r="G245" s="72" t="s">
        <v>6</v>
      </c>
      <c r="H245" s="75"/>
      <c r="I245" s="75"/>
      <c r="J245" s="75"/>
      <c r="K245" s="75"/>
      <c r="L245" s="75"/>
      <c r="M245" s="75"/>
      <c r="N245" s="75"/>
      <c r="O245" s="72" t="s">
        <v>6</v>
      </c>
    </row>
    <row r="246" spans="1:15">
      <c r="A246" s="73" t="s">
        <v>729</v>
      </c>
      <c r="B246" s="73" t="s">
        <v>730</v>
      </c>
      <c r="C246" s="70">
        <v>16</v>
      </c>
      <c r="D246" s="75" t="s">
        <v>731</v>
      </c>
      <c r="E246" s="73"/>
      <c r="F246" s="72" t="s">
        <v>6</v>
      </c>
      <c r="G246" s="75"/>
      <c r="H246" s="75"/>
      <c r="I246" s="75"/>
      <c r="J246" s="75"/>
      <c r="K246" s="75"/>
      <c r="L246" s="75"/>
      <c r="M246" s="75"/>
      <c r="N246" s="75"/>
      <c r="O246" s="75"/>
    </row>
    <row r="247" spans="1:15">
      <c r="A247" s="73" t="s">
        <v>732</v>
      </c>
      <c r="B247" s="73" t="s">
        <v>733</v>
      </c>
      <c r="C247" s="70">
        <v>17</v>
      </c>
      <c r="D247" s="75" t="s">
        <v>734</v>
      </c>
      <c r="E247" s="72" t="s">
        <v>6</v>
      </c>
      <c r="F247" s="72" t="s">
        <v>6</v>
      </c>
      <c r="G247" s="75"/>
      <c r="H247" s="75"/>
      <c r="I247" s="75"/>
      <c r="J247" s="75"/>
      <c r="K247" s="75"/>
      <c r="L247" s="75"/>
      <c r="M247" s="75"/>
      <c r="N247" s="75"/>
      <c r="O247" s="75"/>
    </row>
    <row r="248" spans="1:15">
      <c r="A248" s="73" t="s">
        <v>735</v>
      </c>
      <c r="B248" s="73" t="s">
        <v>736</v>
      </c>
      <c r="C248" s="70">
        <v>14</v>
      </c>
      <c r="D248" s="75" t="s">
        <v>737</v>
      </c>
      <c r="E248" s="73"/>
      <c r="F248" s="73"/>
      <c r="G248" s="75"/>
      <c r="H248" s="75"/>
      <c r="I248" s="75"/>
      <c r="J248" s="72" t="s">
        <v>6</v>
      </c>
      <c r="K248" s="75"/>
      <c r="L248" s="75"/>
      <c r="M248" s="75"/>
      <c r="N248" s="75"/>
      <c r="O248" s="75"/>
    </row>
    <row r="249" spans="1:15">
      <c r="A249" s="73" t="s">
        <v>738</v>
      </c>
      <c r="B249" s="73" t="s">
        <v>739</v>
      </c>
      <c r="C249" s="70">
        <v>16</v>
      </c>
      <c r="D249" s="75" t="s">
        <v>740</v>
      </c>
      <c r="E249" s="73"/>
      <c r="F249" s="73"/>
      <c r="G249" s="75"/>
      <c r="H249" s="75"/>
      <c r="I249" s="75"/>
      <c r="J249" s="75"/>
      <c r="K249" s="75"/>
      <c r="L249" s="75"/>
      <c r="M249" s="75"/>
      <c r="N249" s="75"/>
      <c r="O249" s="72" t="s">
        <v>6</v>
      </c>
    </row>
    <row r="250" spans="1:15">
      <c r="A250" s="73" t="s">
        <v>741</v>
      </c>
      <c r="B250" s="73" t="s">
        <v>742</v>
      </c>
      <c r="C250" s="70">
        <v>19</v>
      </c>
      <c r="D250" s="75" t="s">
        <v>743</v>
      </c>
      <c r="E250" s="72" t="s">
        <v>6</v>
      </c>
      <c r="F250" s="72" t="s">
        <v>6</v>
      </c>
      <c r="G250" s="75"/>
      <c r="H250" s="75"/>
      <c r="I250" s="75"/>
      <c r="J250" s="75"/>
      <c r="K250" s="75"/>
      <c r="L250" s="75"/>
      <c r="M250" s="75"/>
      <c r="N250" s="75"/>
      <c r="O250" s="75"/>
    </row>
    <row r="251" spans="1:15">
      <c r="A251" s="77" t="s">
        <v>744</v>
      </c>
      <c r="B251" s="77" t="s">
        <v>745</v>
      </c>
      <c r="C251" s="70">
        <v>12</v>
      </c>
      <c r="D251" s="71" t="s">
        <v>746</v>
      </c>
      <c r="E251" s="77"/>
      <c r="F251" s="77"/>
      <c r="G251" s="77"/>
      <c r="H251" s="72" t="s">
        <v>6</v>
      </c>
      <c r="I251" s="72"/>
      <c r="J251" s="77"/>
      <c r="K251" s="77"/>
      <c r="L251" s="77"/>
      <c r="M251" s="77"/>
      <c r="N251" s="77"/>
      <c r="O251" s="77"/>
    </row>
    <row r="252" spans="1:15">
      <c r="A252" s="77" t="s">
        <v>747</v>
      </c>
      <c r="B252" s="77" t="s">
        <v>748</v>
      </c>
      <c r="C252" s="70">
        <v>12</v>
      </c>
      <c r="D252" s="78" t="s">
        <v>749</v>
      </c>
      <c r="E252" s="77"/>
      <c r="F252" s="77"/>
      <c r="G252" s="77"/>
      <c r="H252" s="72" t="s">
        <v>6</v>
      </c>
      <c r="I252" s="77"/>
      <c r="J252" s="77"/>
      <c r="K252" s="77"/>
      <c r="L252" s="77"/>
      <c r="M252" s="77"/>
      <c r="N252" s="77"/>
      <c r="O252" s="77"/>
    </row>
    <row r="253" spans="1:15">
      <c r="A253" s="77" t="s">
        <v>750</v>
      </c>
      <c r="B253" s="77" t="s">
        <v>751</v>
      </c>
      <c r="C253" s="70">
        <v>14</v>
      </c>
      <c r="D253" s="71" t="s">
        <v>752</v>
      </c>
      <c r="E253" s="77"/>
      <c r="F253" s="77"/>
      <c r="G253" s="77"/>
      <c r="H253" s="77"/>
      <c r="I253" s="77"/>
      <c r="J253" s="72" t="s">
        <v>6</v>
      </c>
      <c r="K253" s="77"/>
      <c r="L253" s="77"/>
      <c r="M253" s="77"/>
      <c r="N253" s="77"/>
      <c r="O253" s="77"/>
    </row>
    <row r="254" spans="1:15">
      <c r="A254" s="77" t="s">
        <v>753</v>
      </c>
      <c r="B254" s="77" t="s">
        <v>754</v>
      </c>
      <c r="C254" s="70">
        <v>14</v>
      </c>
      <c r="D254" s="71" t="s">
        <v>755</v>
      </c>
      <c r="E254" s="77"/>
      <c r="F254" s="77"/>
      <c r="G254" s="72" t="s">
        <v>6</v>
      </c>
      <c r="H254" s="72" t="s">
        <v>6</v>
      </c>
      <c r="I254" s="72" t="s">
        <v>6</v>
      </c>
      <c r="J254" s="72" t="s">
        <v>6</v>
      </c>
      <c r="K254" s="72"/>
      <c r="L254" s="72" t="s">
        <v>6</v>
      </c>
      <c r="M254" s="77"/>
      <c r="N254" s="77"/>
      <c r="O254" s="77"/>
    </row>
    <row r="255" spans="1:15">
      <c r="A255" s="77" t="s">
        <v>756</v>
      </c>
      <c r="B255" s="77" t="s">
        <v>757</v>
      </c>
      <c r="C255" s="70">
        <v>15</v>
      </c>
      <c r="D255" s="78" t="s">
        <v>758</v>
      </c>
      <c r="E255" s="77"/>
      <c r="F255" s="77"/>
      <c r="G255" s="72" t="s">
        <v>6</v>
      </c>
      <c r="H255" s="72"/>
      <c r="I255" s="77"/>
      <c r="J255" s="77"/>
      <c r="K255" s="77"/>
      <c r="L255" s="77"/>
      <c r="M255" s="77"/>
      <c r="N255" s="77"/>
      <c r="O255" s="77"/>
    </row>
    <row r="256" spans="1:15">
      <c r="A256" s="77" t="s">
        <v>759</v>
      </c>
      <c r="B256" s="77" t="s">
        <v>760</v>
      </c>
      <c r="C256" s="70">
        <v>13</v>
      </c>
      <c r="D256" s="71" t="s">
        <v>761</v>
      </c>
      <c r="E256" s="77"/>
      <c r="F256" s="77"/>
      <c r="G256" s="77"/>
      <c r="H256" s="72" t="s">
        <v>6</v>
      </c>
      <c r="I256" s="72" t="s">
        <v>6</v>
      </c>
      <c r="J256" s="72"/>
      <c r="K256" s="72"/>
      <c r="L256" s="72"/>
      <c r="M256" s="72"/>
      <c r="N256" s="72" t="s">
        <v>6</v>
      </c>
      <c r="O256" s="77"/>
    </row>
    <row r="257" spans="1:15">
      <c r="A257" s="77" t="s">
        <v>762</v>
      </c>
      <c r="B257" s="77" t="s">
        <v>457</v>
      </c>
      <c r="C257" s="70">
        <v>16</v>
      </c>
      <c r="D257" s="78" t="s">
        <v>458</v>
      </c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</row>
    <row r="258" spans="1:15">
      <c r="A258" s="77" t="s">
        <v>763</v>
      </c>
      <c r="B258" s="77" t="s">
        <v>764</v>
      </c>
      <c r="C258" s="70">
        <v>15</v>
      </c>
      <c r="D258" s="71" t="s">
        <v>765</v>
      </c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</row>
    <row r="259" spans="1:15">
      <c r="A259" s="77" t="s">
        <v>766</v>
      </c>
      <c r="B259" s="77" t="s">
        <v>767</v>
      </c>
      <c r="C259" s="70">
        <v>16</v>
      </c>
      <c r="D259" s="78" t="s">
        <v>768</v>
      </c>
      <c r="E259" s="77"/>
      <c r="F259" s="72" t="s">
        <v>6</v>
      </c>
      <c r="G259" s="72" t="s">
        <v>6</v>
      </c>
      <c r="H259" s="77"/>
      <c r="I259" s="77"/>
      <c r="J259" s="72" t="s">
        <v>6</v>
      </c>
      <c r="K259" s="77"/>
      <c r="L259" s="77"/>
      <c r="M259" s="77"/>
      <c r="N259" s="77"/>
      <c r="O259" s="77"/>
    </row>
    <row r="260" spans="1:15">
      <c r="A260" s="77" t="s">
        <v>769</v>
      </c>
      <c r="B260" s="77" t="s">
        <v>770</v>
      </c>
      <c r="C260" s="70">
        <v>17</v>
      </c>
      <c r="D260" s="71" t="s">
        <v>771</v>
      </c>
      <c r="E260" s="72" t="s">
        <v>6</v>
      </c>
      <c r="F260" s="72" t="s">
        <v>6</v>
      </c>
      <c r="G260" s="77"/>
      <c r="H260" s="77"/>
      <c r="I260" s="77"/>
      <c r="J260" s="77"/>
      <c r="K260" s="77"/>
      <c r="L260" s="77"/>
      <c r="M260" s="77"/>
      <c r="N260" s="77"/>
      <c r="O260" s="77"/>
    </row>
    <row r="261" spans="1:15">
      <c r="A261" s="77" t="s">
        <v>772</v>
      </c>
      <c r="B261" s="77" t="s">
        <v>773</v>
      </c>
      <c r="C261" s="70">
        <v>16</v>
      </c>
      <c r="D261" s="71" t="s">
        <v>774</v>
      </c>
      <c r="E261" s="77"/>
      <c r="F261" s="72" t="s">
        <v>6</v>
      </c>
      <c r="G261" s="72" t="s">
        <v>6</v>
      </c>
      <c r="H261" s="77"/>
      <c r="I261" s="77"/>
      <c r="J261" s="72" t="s">
        <v>6</v>
      </c>
      <c r="K261" s="77"/>
      <c r="L261" s="77"/>
      <c r="M261" s="77"/>
      <c r="N261" s="77"/>
      <c r="O261" s="77"/>
    </row>
    <row r="262" spans="1:15">
      <c r="A262" s="77" t="s">
        <v>775</v>
      </c>
      <c r="B262" s="77" t="s">
        <v>776</v>
      </c>
      <c r="C262" s="70">
        <v>16</v>
      </c>
      <c r="D262" s="78" t="s">
        <v>777</v>
      </c>
      <c r="E262" s="77"/>
      <c r="F262" s="72" t="s">
        <v>6</v>
      </c>
      <c r="G262" s="72"/>
      <c r="H262" s="77"/>
      <c r="I262" s="77"/>
      <c r="J262" s="72"/>
      <c r="K262" s="77"/>
      <c r="L262" s="77"/>
      <c r="M262" s="77"/>
      <c r="N262" s="77"/>
      <c r="O262" s="77"/>
    </row>
    <row r="263" spans="1:15">
      <c r="A263" s="77" t="s">
        <v>778</v>
      </c>
      <c r="B263" s="77" t="s">
        <v>272</v>
      </c>
      <c r="C263" s="70">
        <v>17</v>
      </c>
      <c r="D263" s="71" t="s">
        <v>779</v>
      </c>
      <c r="E263" s="72" t="s">
        <v>6</v>
      </c>
      <c r="F263" s="72" t="s">
        <v>6</v>
      </c>
      <c r="G263" s="77"/>
      <c r="H263" s="77"/>
      <c r="I263" s="77"/>
      <c r="J263" s="77"/>
      <c r="K263" s="77"/>
      <c r="L263" s="77"/>
      <c r="M263" s="77"/>
      <c r="N263" s="77"/>
      <c r="O263" s="77"/>
    </row>
    <row r="264" spans="1:15">
      <c r="A264" s="77" t="s">
        <v>780</v>
      </c>
      <c r="B264" s="77" t="s">
        <v>781</v>
      </c>
      <c r="C264" s="70">
        <v>17</v>
      </c>
      <c r="D264" s="78" t="s">
        <v>782</v>
      </c>
      <c r="E264" s="72" t="s">
        <v>6</v>
      </c>
      <c r="F264" s="77"/>
      <c r="G264" s="77"/>
      <c r="H264" s="77"/>
      <c r="I264" s="77"/>
      <c r="J264" s="77"/>
      <c r="K264" s="77"/>
      <c r="L264" s="77"/>
      <c r="M264" s="77"/>
      <c r="N264" s="77"/>
      <c r="O264" s="77"/>
    </row>
    <row r="265" spans="1:15">
      <c r="A265" s="77" t="s">
        <v>783</v>
      </c>
      <c r="B265" s="77" t="s">
        <v>784</v>
      </c>
      <c r="C265" s="70">
        <v>16</v>
      </c>
      <c r="D265" s="71" t="s">
        <v>785</v>
      </c>
      <c r="E265" s="77"/>
      <c r="F265" s="72" t="s">
        <v>6</v>
      </c>
      <c r="G265" s="77"/>
      <c r="H265" s="77"/>
      <c r="I265" s="77"/>
      <c r="J265" s="77"/>
      <c r="K265" s="77"/>
      <c r="L265" s="77"/>
      <c r="M265" s="77"/>
      <c r="N265" s="77"/>
      <c r="O265" s="77"/>
    </row>
    <row r="266" spans="1:15">
      <c r="A266" s="77" t="s">
        <v>786</v>
      </c>
      <c r="B266" s="77" t="s">
        <v>787</v>
      </c>
      <c r="C266" s="70">
        <v>16</v>
      </c>
      <c r="D266" s="78" t="s">
        <v>788</v>
      </c>
      <c r="E266" s="77"/>
      <c r="F266" s="72" t="s">
        <v>6</v>
      </c>
      <c r="G266" s="77"/>
      <c r="H266" s="77"/>
      <c r="I266" s="77"/>
      <c r="J266" s="77"/>
      <c r="K266" s="77"/>
      <c r="L266" s="77"/>
      <c r="M266" s="77"/>
      <c r="N266" s="77"/>
      <c r="O266" s="77"/>
    </row>
    <row r="267" spans="1:15">
      <c r="A267" s="77" t="s">
        <v>789</v>
      </c>
      <c r="B267" s="77" t="s">
        <v>790</v>
      </c>
      <c r="C267" s="70">
        <v>18</v>
      </c>
      <c r="D267" s="78" t="s">
        <v>791</v>
      </c>
      <c r="E267" s="77"/>
      <c r="F267" s="72" t="s">
        <v>6</v>
      </c>
      <c r="G267" s="77"/>
      <c r="H267" s="77"/>
      <c r="I267" s="77"/>
      <c r="J267" s="77"/>
      <c r="K267" s="77"/>
      <c r="L267" s="77"/>
      <c r="M267" s="77"/>
      <c r="N267" s="77"/>
      <c r="O267" s="77"/>
    </row>
    <row r="268" spans="1:15">
      <c r="A268" s="77" t="s">
        <v>792</v>
      </c>
      <c r="B268" s="77" t="s">
        <v>793</v>
      </c>
      <c r="C268" s="70">
        <v>15</v>
      </c>
      <c r="D268" s="71" t="s">
        <v>794</v>
      </c>
      <c r="E268" s="77"/>
      <c r="F268" s="72"/>
      <c r="G268" s="77"/>
      <c r="H268" s="77"/>
      <c r="I268" s="77"/>
      <c r="J268" s="77"/>
      <c r="K268" s="77"/>
      <c r="L268" s="77"/>
      <c r="M268" s="77"/>
      <c r="N268" s="77"/>
      <c r="O268" s="77"/>
    </row>
    <row r="269" spans="1:15">
      <c r="A269" s="77" t="s">
        <v>795</v>
      </c>
      <c r="B269" s="77" t="s">
        <v>796</v>
      </c>
      <c r="C269" s="70">
        <v>16</v>
      </c>
      <c r="D269" s="71" t="s">
        <v>797</v>
      </c>
      <c r="E269" s="77"/>
      <c r="F269" s="72" t="s">
        <v>6</v>
      </c>
      <c r="G269" s="72" t="s">
        <v>6</v>
      </c>
      <c r="H269" s="77"/>
      <c r="I269" s="77"/>
      <c r="J269" s="77"/>
      <c r="K269" s="77"/>
      <c r="L269" s="77"/>
      <c r="M269" s="77"/>
      <c r="N269" s="77"/>
      <c r="O269" s="77"/>
    </row>
    <row r="270" spans="1:15">
      <c r="A270" s="77" t="s">
        <v>798</v>
      </c>
      <c r="B270" s="77" t="s">
        <v>799</v>
      </c>
      <c r="C270" s="70">
        <v>17</v>
      </c>
      <c r="D270" s="78" t="s">
        <v>800</v>
      </c>
      <c r="E270" s="72" t="s">
        <v>6</v>
      </c>
      <c r="F270" s="72"/>
      <c r="G270" s="77"/>
      <c r="H270" s="77"/>
      <c r="I270" s="77"/>
      <c r="J270" s="77"/>
      <c r="K270" s="77"/>
      <c r="L270" s="77"/>
      <c r="M270" s="77"/>
      <c r="N270" s="77"/>
      <c r="O270" s="77"/>
    </row>
    <row r="271" spans="1:15">
      <c r="A271" s="77" t="s">
        <v>801</v>
      </c>
      <c r="B271" s="77" t="s">
        <v>802</v>
      </c>
      <c r="C271" s="70">
        <v>18</v>
      </c>
      <c r="D271" s="71" t="s">
        <v>803</v>
      </c>
      <c r="E271" s="72"/>
      <c r="F271" s="72" t="s">
        <v>6</v>
      </c>
      <c r="G271" s="77"/>
      <c r="H271" s="77"/>
      <c r="I271" s="77"/>
      <c r="J271" s="77"/>
      <c r="K271" s="77"/>
      <c r="L271" s="77"/>
      <c r="M271" s="77"/>
      <c r="N271" s="77"/>
      <c r="O271" s="77"/>
    </row>
    <row r="272" spans="1:15">
      <c r="A272" s="77" t="s">
        <v>804</v>
      </c>
      <c r="B272" s="77" t="s">
        <v>805</v>
      </c>
      <c r="C272" s="70">
        <v>18</v>
      </c>
      <c r="D272" s="71" t="s">
        <v>806</v>
      </c>
      <c r="E272" s="77"/>
      <c r="F272" s="72" t="s">
        <v>6</v>
      </c>
      <c r="G272" s="77"/>
      <c r="H272" s="77"/>
      <c r="I272" s="77"/>
      <c r="J272" s="77"/>
      <c r="K272" s="77"/>
      <c r="L272" s="77"/>
      <c r="M272" s="77"/>
      <c r="N272" s="77"/>
      <c r="O272" s="77"/>
    </row>
    <row r="273" spans="1:15">
      <c r="A273" s="77" t="s">
        <v>807</v>
      </c>
      <c r="B273" s="77" t="s">
        <v>808</v>
      </c>
      <c r="C273" s="70">
        <v>19</v>
      </c>
      <c r="D273" s="71" t="s">
        <v>809</v>
      </c>
      <c r="E273" s="72" t="s">
        <v>6</v>
      </c>
      <c r="F273" s="72" t="s">
        <v>6</v>
      </c>
      <c r="G273" s="77"/>
      <c r="H273" s="77"/>
      <c r="I273" s="77"/>
      <c r="J273" s="77"/>
      <c r="K273" s="77"/>
      <c r="L273" s="77"/>
      <c r="M273" s="77"/>
      <c r="N273" s="77"/>
      <c r="O273" s="77"/>
    </row>
    <row r="274" spans="1:15">
      <c r="A274" s="77" t="s">
        <v>810</v>
      </c>
      <c r="B274" s="77" t="s">
        <v>811</v>
      </c>
      <c r="C274" s="70">
        <v>19</v>
      </c>
      <c r="D274" s="79" t="s">
        <v>812</v>
      </c>
      <c r="E274" s="72" t="s">
        <v>6</v>
      </c>
      <c r="F274" s="72" t="s">
        <v>6</v>
      </c>
      <c r="G274" s="77"/>
      <c r="H274" s="77"/>
      <c r="I274" s="77"/>
      <c r="J274" s="77"/>
      <c r="K274" s="77"/>
      <c r="L274" s="77"/>
      <c r="M274" s="77"/>
      <c r="N274" s="77"/>
      <c r="O274" s="77"/>
    </row>
    <row r="275" spans="1:15">
      <c r="A275" s="77" t="s">
        <v>813</v>
      </c>
      <c r="B275" s="77" t="s">
        <v>814</v>
      </c>
      <c r="C275" s="70">
        <v>16</v>
      </c>
      <c r="D275" s="71" t="s">
        <v>815</v>
      </c>
      <c r="E275" s="77"/>
      <c r="F275" s="72" t="s">
        <v>6</v>
      </c>
      <c r="G275" s="77"/>
      <c r="H275" s="77"/>
      <c r="I275" s="77"/>
      <c r="J275" s="77"/>
      <c r="K275" s="77"/>
      <c r="L275" s="77"/>
      <c r="M275" s="77"/>
      <c r="N275" s="77"/>
      <c r="O275" s="72" t="s">
        <v>6</v>
      </c>
    </row>
    <row r="276" spans="1:15">
      <c r="A276" s="77" t="s">
        <v>816</v>
      </c>
      <c r="B276" s="77" t="s">
        <v>817</v>
      </c>
      <c r="C276" s="70">
        <v>20</v>
      </c>
      <c r="D276" s="71" t="s">
        <v>818</v>
      </c>
      <c r="E276" s="72" t="s">
        <v>6</v>
      </c>
      <c r="F276" s="72" t="s">
        <v>6</v>
      </c>
      <c r="G276" s="77"/>
      <c r="H276" s="77"/>
      <c r="I276" s="77"/>
      <c r="J276" s="77"/>
      <c r="K276" s="77"/>
      <c r="L276" s="77"/>
      <c r="M276" s="77"/>
      <c r="N276" s="77"/>
      <c r="O276" s="77"/>
    </row>
    <row r="277" spans="1:15">
      <c r="A277" s="77" t="s">
        <v>819</v>
      </c>
      <c r="B277" s="77" t="s">
        <v>820</v>
      </c>
      <c r="C277" s="70">
        <v>19</v>
      </c>
      <c r="D277" s="78" t="s">
        <v>821</v>
      </c>
      <c r="E277" s="72" t="s">
        <v>6</v>
      </c>
      <c r="F277" s="72" t="s">
        <v>6</v>
      </c>
      <c r="G277" s="77"/>
      <c r="H277" s="77"/>
      <c r="I277" s="77"/>
      <c r="J277" s="77"/>
      <c r="K277" s="77"/>
      <c r="L277" s="77"/>
      <c r="M277" s="77"/>
      <c r="N277" s="77"/>
      <c r="O277" s="77"/>
    </row>
    <row r="278" spans="1:15">
      <c r="A278" s="77" t="s">
        <v>822</v>
      </c>
      <c r="B278" s="77" t="s">
        <v>823</v>
      </c>
      <c r="C278" s="70">
        <v>15</v>
      </c>
      <c r="D278" s="78" t="s">
        <v>824</v>
      </c>
      <c r="E278" s="77"/>
      <c r="F278" s="77"/>
      <c r="G278" s="72" t="s">
        <v>6</v>
      </c>
      <c r="H278" s="77"/>
      <c r="I278" s="77"/>
      <c r="J278" s="77"/>
      <c r="K278" s="77"/>
      <c r="L278" s="72" t="s">
        <v>6</v>
      </c>
      <c r="M278" s="77"/>
      <c r="N278" s="77"/>
      <c r="O278" s="77"/>
    </row>
    <row r="279" spans="1:15">
      <c r="A279" s="77" t="s">
        <v>825</v>
      </c>
      <c r="B279" s="77" t="s">
        <v>826</v>
      </c>
      <c r="C279" s="70">
        <v>17</v>
      </c>
      <c r="D279" s="78" t="s">
        <v>827</v>
      </c>
      <c r="E279" s="77"/>
      <c r="F279" s="77"/>
      <c r="G279" s="77"/>
      <c r="H279" s="77"/>
      <c r="I279" s="77"/>
      <c r="J279" s="77"/>
      <c r="K279" s="77"/>
      <c r="L279" s="72"/>
      <c r="M279" s="72"/>
      <c r="N279" s="72"/>
      <c r="O279" s="72" t="s">
        <v>6</v>
      </c>
    </row>
    <row r="280" spans="1:15">
      <c r="A280" s="77" t="s">
        <v>828</v>
      </c>
      <c r="B280" s="77" t="s">
        <v>829</v>
      </c>
      <c r="C280" s="70">
        <v>15</v>
      </c>
      <c r="D280" s="78" t="s">
        <v>830</v>
      </c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</row>
    <row r="281" spans="1:15">
      <c r="A281" s="77" t="s">
        <v>831</v>
      </c>
      <c r="B281" s="77" t="s">
        <v>832</v>
      </c>
      <c r="C281" s="70">
        <v>15</v>
      </c>
      <c r="D281" s="78" t="s">
        <v>833</v>
      </c>
      <c r="E281" s="77"/>
      <c r="F281" s="77"/>
      <c r="G281" s="72" t="s">
        <v>6</v>
      </c>
      <c r="H281" s="77"/>
      <c r="I281" s="77"/>
      <c r="J281" s="77"/>
      <c r="K281" s="77"/>
      <c r="L281" s="77"/>
      <c r="M281" s="77"/>
      <c r="N281" s="77"/>
      <c r="O281" s="77"/>
    </row>
    <row r="282" spans="1:15">
      <c r="A282" s="77" t="s">
        <v>834</v>
      </c>
      <c r="B282" s="77" t="s">
        <v>835</v>
      </c>
      <c r="C282" s="70">
        <v>16</v>
      </c>
      <c r="D282" s="78" t="s">
        <v>836</v>
      </c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2" t="s">
        <v>6</v>
      </c>
    </row>
    <row r="283" spans="1:15">
      <c r="A283" s="82" t="s">
        <v>837</v>
      </c>
      <c r="B283" s="82" t="s">
        <v>173</v>
      </c>
      <c r="C283" s="82">
        <v>18</v>
      </c>
      <c r="D283" s="82" t="s">
        <v>838</v>
      </c>
      <c r="E283" s="83" t="s">
        <v>6</v>
      </c>
      <c r="F283" s="83" t="s">
        <v>6</v>
      </c>
      <c r="G283" s="81" t="s">
        <v>839</v>
      </c>
      <c r="H283" s="81" t="s">
        <v>839</v>
      </c>
      <c r="I283" s="81" t="s">
        <v>839</v>
      </c>
      <c r="J283" s="81" t="s">
        <v>839</v>
      </c>
      <c r="K283" s="81" t="s">
        <v>839</v>
      </c>
      <c r="L283" s="81" t="s">
        <v>839</v>
      </c>
      <c r="M283" s="83" t="s">
        <v>6</v>
      </c>
      <c r="N283" s="81" t="s">
        <v>839</v>
      </c>
      <c r="O283" s="83" t="s">
        <v>6</v>
      </c>
    </row>
    <row r="284" spans="1:15">
      <c r="A284" s="82" t="s">
        <v>840</v>
      </c>
      <c r="B284" s="82" t="s">
        <v>576</v>
      </c>
      <c r="C284" s="82">
        <v>13</v>
      </c>
      <c r="D284" s="82" t="s">
        <v>841</v>
      </c>
      <c r="E284" s="81" t="s">
        <v>839</v>
      </c>
      <c r="F284" s="81" t="s">
        <v>839</v>
      </c>
      <c r="G284" s="81" t="s">
        <v>839</v>
      </c>
      <c r="H284" s="81" t="s">
        <v>839</v>
      </c>
      <c r="I284" s="81" t="s">
        <v>839</v>
      </c>
      <c r="J284" s="81" t="s">
        <v>839</v>
      </c>
      <c r="K284" s="83" t="s">
        <v>6</v>
      </c>
      <c r="L284" s="81" t="s">
        <v>839</v>
      </c>
      <c r="M284" s="81" t="s">
        <v>839</v>
      </c>
      <c r="N284" s="83" t="s">
        <v>6</v>
      </c>
      <c r="O284" s="81" t="s">
        <v>839</v>
      </c>
    </row>
    <row r="285" spans="1:15">
      <c r="A285" s="82" t="s">
        <v>842</v>
      </c>
      <c r="B285" s="82" t="s">
        <v>146</v>
      </c>
      <c r="C285" s="82">
        <v>17</v>
      </c>
      <c r="D285" s="82" t="s">
        <v>843</v>
      </c>
      <c r="E285" s="81" t="s">
        <v>839</v>
      </c>
      <c r="F285" s="83" t="s">
        <v>6</v>
      </c>
      <c r="G285" s="81" t="s">
        <v>839</v>
      </c>
      <c r="H285" s="81" t="s">
        <v>839</v>
      </c>
      <c r="I285" s="81" t="s">
        <v>839</v>
      </c>
      <c r="J285" s="81" t="s">
        <v>839</v>
      </c>
      <c r="K285" s="81" t="s">
        <v>839</v>
      </c>
      <c r="L285" s="83" t="s">
        <v>6</v>
      </c>
      <c r="M285" s="83" t="s">
        <v>6</v>
      </c>
      <c r="N285" s="81" t="s">
        <v>839</v>
      </c>
      <c r="O285" s="83" t="s">
        <v>6</v>
      </c>
    </row>
    <row r="286" spans="1:15">
      <c r="A286" s="71"/>
      <c r="B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</row>
    <row r="287" spans="1:15" ht="76.5">
      <c r="A287" s="80" t="s">
        <v>844</v>
      </c>
      <c r="B287" s="80" t="s">
        <v>845</v>
      </c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</row>
    <row r="289" spans="1:15">
      <c r="A289" s="66" t="s">
        <v>846</v>
      </c>
      <c r="B289" s="66" t="s">
        <v>847</v>
      </c>
      <c r="C289" s="64" t="str">
        <f>MID(A289,9,2)</f>
        <v>16</v>
      </c>
      <c r="D289" s="65" t="s">
        <v>768</v>
      </c>
      <c r="E289" s="65"/>
      <c r="F289" s="65"/>
      <c r="G289" s="65"/>
      <c r="H289" s="65"/>
      <c r="I289" s="65"/>
      <c r="J289" s="65"/>
      <c r="K289" s="65"/>
      <c r="L289" s="65"/>
      <c r="M289" s="63"/>
      <c r="N289" s="65"/>
      <c r="O289" s="65"/>
    </row>
    <row r="290" spans="1:15">
      <c r="A290" s="76" t="s">
        <v>848</v>
      </c>
      <c r="B290" s="66" t="s">
        <v>847</v>
      </c>
      <c r="C290" s="70">
        <v>16</v>
      </c>
      <c r="D290" s="75" t="s">
        <v>849</v>
      </c>
      <c r="E290" s="75"/>
      <c r="F290" s="72"/>
      <c r="G290" s="72"/>
      <c r="H290" s="72"/>
      <c r="I290" s="72"/>
      <c r="J290" s="75"/>
      <c r="K290" s="75"/>
      <c r="L290" s="75"/>
      <c r="M290" s="75"/>
      <c r="N290" s="75"/>
      <c r="O290" s="75"/>
    </row>
  </sheetData>
  <autoFilter ref="A1:O285" xr:uid="{88568FF1-8823-4D9B-B29E-1F239C3E90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78AF-CBEB-4F4D-ABFB-78E8A7A7A223}">
  <dimension ref="A1:O18"/>
  <sheetViews>
    <sheetView workbookViewId="0">
      <selection activeCell="A2" sqref="A2"/>
    </sheetView>
  </sheetViews>
  <sheetFormatPr defaultRowHeight="15"/>
  <cols>
    <col min="1" max="1" width="31.5703125" customWidth="1"/>
    <col min="2" max="2" width="19.28515625" bestFit="1" customWidth="1"/>
    <col min="4" max="4" width="38.7109375" customWidth="1"/>
  </cols>
  <sheetData>
    <row r="1" spans="1:15">
      <c r="A1" s="31" t="s">
        <v>0</v>
      </c>
      <c r="B1" s="32" t="s">
        <v>1</v>
      </c>
      <c r="C1" s="32" t="s">
        <v>839</v>
      </c>
      <c r="D1" s="32" t="s">
        <v>2</v>
      </c>
      <c r="E1" s="32">
        <v>3401</v>
      </c>
      <c r="F1" s="32">
        <v>3402</v>
      </c>
      <c r="G1" s="32">
        <v>3403</v>
      </c>
      <c r="H1" s="32">
        <v>3404</v>
      </c>
      <c r="I1" s="32">
        <v>3405</v>
      </c>
      <c r="J1" s="32">
        <v>3406</v>
      </c>
      <c r="K1" s="32">
        <v>3407</v>
      </c>
      <c r="L1" s="32">
        <v>3408</v>
      </c>
      <c r="M1" s="32">
        <v>3409</v>
      </c>
      <c r="N1" s="32">
        <v>3410</v>
      </c>
      <c r="O1" s="32">
        <v>3411</v>
      </c>
    </row>
    <row r="2" spans="1:15">
      <c r="A2" s="33" t="s">
        <v>49</v>
      </c>
      <c r="B2" s="44" t="s">
        <v>50</v>
      </c>
      <c r="C2" s="34">
        <v>17</v>
      </c>
      <c r="D2" s="35" t="s">
        <v>850</v>
      </c>
      <c r="E2" s="36" t="s">
        <v>839</v>
      </c>
      <c r="F2" s="36" t="s">
        <v>839</v>
      </c>
      <c r="G2" s="36" t="s">
        <v>839</v>
      </c>
      <c r="H2" s="36" t="s">
        <v>839</v>
      </c>
      <c r="I2" s="36" t="s">
        <v>839</v>
      </c>
      <c r="J2" s="36" t="s">
        <v>839</v>
      </c>
      <c r="K2" s="36" t="s">
        <v>6</v>
      </c>
      <c r="L2" s="35" t="s">
        <v>839</v>
      </c>
      <c r="M2" s="36" t="s">
        <v>6</v>
      </c>
      <c r="N2" s="36" t="s">
        <v>6</v>
      </c>
      <c r="O2" s="36" t="s">
        <v>6</v>
      </c>
    </row>
    <row r="3" spans="1:15">
      <c r="A3" s="37" t="s">
        <v>49</v>
      </c>
      <c r="B3" s="44" t="s">
        <v>50</v>
      </c>
      <c r="C3" s="34">
        <v>17</v>
      </c>
      <c r="D3" s="35" t="s">
        <v>51</v>
      </c>
      <c r="E3" s="36" t="s">
        <v>839</v>
      </c>
      <c r="F3" s="36" t="s">
        <v>839</v>
      </c>
      <c r="G3" s="35" t="s">
        <v>839</v>
      </c>
      <c r="H3" s="35" t="s">
        <v>839</v>
      </c>
      <c r="I3" s="35" t="s">
        <v>839</v>
      </c>
      <c r="J3" s="35" t="s">
        <v>839</v>
      </c>
      <c r="K3" s="35" t="s">
        <v>839</v>
      </c>
      <c r="L3" s="38" t="s">
        <v>839</v>
      </c>
      <c r="M3" s="36" t="s">
        <v>839</v>
      </c>
      <c r="N3" s="35" t="s">
        <v>839</v>
      </c>
      <c r="O3" s="36" t="s">
        <v>6</v>
      </c>
    </row>
    <row r="4" spans="1:15">
      <c r="A4" s="37" t="s">
        <v>121</v>
      </c>
      <c r="B4" s="44" t="s">
        <v>122</v>
      </c>
      <c r="C4" s="34">
        <v>16</v>
      </c>
      <c r="D4" s="35" t="s">
        <v>123</v>
      </c>
      <c r="E4" s="36" t="s">
        <v>839</v>
      </c>
      <c r="F4" s="36" t="s">
        <v>6</v>
      </c>
      <c r="G4" s="35" t="s">
        <v>839</v>
      </c>
      <c r="H4" s="35" t="s">
        <v>839</v>
      </c>
      <c r="I4" s="35" t="s">
        <v>839</v>
      </c>
      <c r="J4" s="35" t="s">
        <v>839</v>
      </c>
      <c r="K4" s="35" t="s">
        <v>839</v>
      </c>
      <c r="L4" s="38" t="s">
        <v>839</v>
      </c>
      <c r="M4" s="36" t="s">
        <v>839</v>
      </c>
      <c r="N4" s="35" t="s">
        <v>839</v>
      </c>
      <c r="O4" s="36" t="s">
        <v>6</v>
      </c>
    </row>
    <row r="5" spans="1:15">
      <c r="A5" s="33" t="s">
        <v>121</v>
      </c>
      <c r="B5" s="45" t="s">
        <v>851</v>
      </c>
      <c r="C5" s="34">
        <v>16</v>
      </c>
      <c r="D5" s="39" t="s">
        <v>852</v>
      </c>
      <c r="E5" s="38" t="s">
        <v>6</v>
      </c>
      <c r="F5" s="38" t="s">
        <v>839</v>
      </c>
      <c r="G5" s="38" t="s">
        <v>6</v>
      </c>
      <c r="H5" s="38" t="s">
        <v>839</v>
      </c>
      <c r="I5" s="38" t="s">
        <v>839</v>
      </c>
      <c r="J5" s="38" t="s">
        <v>839</v>
      </c>
      <c r="K5" s="39" t="s">
        <v>839</v>
      </c>
      <c r="L5" s="38" t="s">
        <v>6</v>
      </c>
      <c r="M5" s="36" t="s">
        <v>6</v>
      </c>
      <c r="N5" s="38" t="s">
        <v>6</v>
      </c>
      <c r="O5" s="38" t="s">
        <v>6</v>
      </c>
    </row>
    <row r="6" spans="1:15">
      <c r="A6" s="37" t="s">
        <v>635</v>
      </c>
      <c r="B6" s="44" t="s">
        <v>853</v>
      </c>
      <c r="C6" s="34">
        <v>18</v>
      </c>
      <c r="D6" s="35" t="s">
        <v>854</v>
      </c>
      <c r="E6" s="36" t="s">
        <v>839</v>
      </c>
      <c r="F6" s="36" t="s">
        <v>839</v>
      </c>
      <c r="G6" s="36" t="s">
        <v>839</v>
      </c>
      <c r="H6" s="36" t="s">
        <v>839</v>
      </c>
      <c r="I6" s="36" t="s">
        <v>839</v>
      </c>
      <c r="J6" s="36" t="s">
        <v>839</v>
      </c>
      <c r="K6" s="35" t="s">
        <v>839</v>
      </c>
      <c r="L6" s="35" t="s">
        <v>839</v>
      </c>
      <c r="M6" s="35" t="s">
        <v>839</v>
      </c>
      <c r="N6" s="36" t="s">
        <v>6</v>
      </c>
      <c r="O6" s="36" t="s">
        <v>839</v>
      </c>
    </row>
    <row r="7" spans="1:15">
      <c r="A7" s="37" t="s">
        <v>635</v>
      </c>
      <c r="B7" s="44" t="s">
        <v>855</v>
      </c>
      <c r="C7" s="34">
        <v>18</v>
      </c>
      <c r="D7" s="35" t="s">
        <v>637</v>
      </c>
      <c r="E7" s="36" t="s">
        <v>839</v>
      </c>
      <c r="F7" s="36" t="s">
        <v>6</v>
      </c>
      <c r="G7" s="36" t="s">
        <v>839</v>
      </c>
      <c r="H7" s="36" t="s">
        <v>839</v>
      </c>
      <c r="I7" s="36" t="s">
        <v>839</v>
      </c>
      <c r="J7" s="36" t="s">
        <v>839</v>
      </c>
      <c r="K7" s="35" t="s">
        <v>839</v>
      </c>
      <c r="L7" s="36" t="s">
        <v>6</v>
      </c>
      <c r="M7" s="36" t="s">
        <v>6</v>
      </c>
      <c r="N7" s="38" t="s">
        <v>839</v>
      </c>
      <c r="O7" s="38" t="s">
        <v>839</v>
      </c>
    </row>
    <row r="8" spans="1:15">
      <c r="A8" s="33" t="s">
        <v>366</v>
      </c>
      <c r="B8" s="45" t="s">
        <v>367</v>
      </c>
      <c r="C8" s="34">
        <v>16</v>
      </c>
      <c r="D8" s="39" t="s">
        <v>856</v>
      </c>
      <c r="E8" s="38" t="s">
        <v>839</v>
      </c>
      <c r="F8" s="38" t="s">
        <v>839</v>
      </c>
      <c r="G8" s="38" t="s">
        <v>839</v>
      </c>
      <c r="H8" s="38" t="s">
        <v>839</v>
      </c>
      <c r="I8" s="38" t="s">
        <v>839</v>
      </c>
      <c r="J8" s="38" t="s">
        <v>839</v>
      </c>
      <c r="K8" s="39" t="s">
        <v>839</v>
      </c>
      <c r="L8" s="38" t="s">
        <v>839</v>
      </c>
      <c r="M8" s="36" t="s">
        <v>839</v>
      </c>
      <c r="N8" s="38" t="s">
        <v>6</v>
      </c>
      <c r="O8" s="38" t="s">
        <v>6</v>
      </c>
    </row>
    <row r="9" spans="1:15">
      <c r="A9" s="37" t="s">
        <v>366</v>
      </c>
      <c r="B9" s="44" t="s">
        <v>367</v>
      </c>
      <c r="C9" s="34">
        <v>16</v>
      </c>
      <c r="D9" s="35" t="s">
        <v>368</v>
      </c>
      <c r="E9" s="36" t="s">
        <v>839</v>
      </c>
      <c r="F9" s="36" t="s">
        <v>6</v>
      </c>
      <c r="G9" s="35" t="s">
        <v>839</v>
      </c>
      <c r="H9" s="35" t="s">
        <v>839</v>
      </c>
      <c r="I9" s="35" t="s">
        <v>839</v>
      </c>
      <c r="J9" s="35" t="s">
        <v>839</v>
      </c>
      <c r="K9" s="35" t="s">
        <v>839</v>
      </c>
      <c r="L9" s="38" t="s">
        <v>839</v>
      </c>
      <c r="M9" s="36" t="s">
        <v>839</v>
      </c>
      <c r="N9" s="35" t="s">
        <v>839</v>
      </c>
      <c r="O9" s="36" t="s">
        <v>6</v>
      </c>
    </row>
    <row r="10" spans="1:15">
      <c r="A10" s="33" t="s">
        <v>846</v>
      </c>
      <c r="B10" s="84" t="s">
        <v>767</v>
      </c>
      <c r="C10" s="34">
        <v>16</v>
      </c>
      <c r="D10" s="39" t="s">
        <v>768</v>
      </c>
      <c r="E10" s="38" t="s">
        <v>839</v>
      </c>
      <c r="F10" s="38" t="s">
        <v>6</v>
      </c>
      <c r="G10" s="38" t="s">
        <v>839</v>
      </c>
      <c r="H10" s="38" t="s">
        <v>839</v>
      </c>
      <c r="I10" s="38" t="s">
        <v>839</v>
      </c>
      <c r="J10" s="38" t="s">
        <v>839</v>
      </c>
      <c r="K10" s="39" t="s">
        <v>839</v>
      </c>
      <c r="L10" s="38" t="s">
        <v>6</v>
      </c>
      <c r="M10" s="36" t="s">
        <v>6</v>
      </c>
      <c r="N10" s="38" t="s">
        <v>839</v>
      </c>
      <c r="O10" s="38" t="s">
        <v>839</v>
      </c>
    </row>
    <row r="11" spans="1:15">
      <c r="A11" s="33" t="s">
        <v>846</v>
      </c>
      <c r="B11" s="84" t="s">
        <v>857</v>
      </c>
      <c r="C11" s="34">
        <v>16</v>
      </c>
      <c r="D11" s="39" t="s">
        <v>858</v>
      </c>
      <c r="E11" s="38" t="s">
        <v>6</v>
      </c>
      <c r="F11" s="38" t="s">
        <v>6</v>
      </c>
      <c r="G11" s="38" t="s">
        <v>839</v>
      </c>
      <c r="H11" s="38" t="s">
        <v>839</v>
      </c>
      <c r="I11" s="38" t="s">
        <v>839</v>
      </c>
      <c r="J11" s="38" t="s">
        <v>839</v>
      </c>
      <c r="K11" s="39" t="s">
        <v>839</v>
      </c>
      <c r="L11" s="38" t="s">
        <v>6</v>
      </c>
      <c r="M11" s="36" t="s">
        <v>6</v>
      </c>
      <c r="N11" s="38" t="s">
        <v>6</v>
      </c>
      <c r="O11" s="38" t="s">
        <v>839</v>
      </c>
    </row>
    <row r="12" spans="1:15">
      <c r="A12" s="33" t="s">
        <v>848</v>
      </c>
      <c r="B12" s="84" t="s">
        <v>859</v>
      </c>
      <c r="C12" s="34">
        <v>16</v>
      </c>
      <c r="D12" s="39" t="s">
        <v>849</v>
      </c>
      <c r="E12" s="38" t="s">
        <v>6</v>
      </c>
      <c r="F12" s="38" t="s">
        <v>6</v>
      </c>
      <c r="G12" s="38" t="s">
        <v>839</v>
      </c>
      <c r="H12" s="38" t="s">
        <v>839</v>
      </c>
      <c r="I12" s="38" t="s">
        <v>839</v>
      </c>
      <c r="J12" s="38" t="s">
        <v>839</v>
      </c>
      <c r="K12" s="39" t="s">
        <v>839</v>
      </c>
      <c r="L12" s="39" t="s">
        <v>839</v>
      </c>
      <c r="M12" s="35" t="s">
        <v>839</v>
      </c>
      <c r="N12" s="39" t="s">
        <v>839</v>
      </c>
      <c r="O12" s="39" t="s">
        <v>839</v>
      </c>
    </row>
    <row r="13" spans="1:15" ht="18" customHeight="1">
      <c r="A13" s="40" t="s">
        <v>848</v>
      </c>
      <c r="B13" s="85" t="s">
        <v>859</v>
      </c>
      <c r="C13" s="41">
        <v>16</v>
      </c>
      <c r="D13" s="42" t="s">
        <v>849</v>
      </c>
      <c r="E13" s="43" t="s">
        <v>839</v>
      </c>
      <c r="F13" s="38" t="s">
        <v>6</v>
      </c>
      <c r="G13" s="38" t="s">
        <v>6</v>
      </c>
      <c r="H13" s="38" t="s">
        <v>6</v>
      </c>
      <c r="I13" s="38" t="s">
        <v>6</v>
      </c>
      <c r="J13" s="42" t="s">
        <v>839</v>
      </c>
      <c r="K13" s="42" t="s">
        <v>839</v>
      </c>
      <c r="L13" s="43" t="s">
        <v>839</v>
      </c>
      <c r="M13" s="43" t="s">
        <v>839</v>
      </c>
      <c r="N13" s="42" t="s">
        <v>839</v>
      </c>
      <c r="O13" s="42" t="s">
        <v>839</v>
      </c>
    </row>
    <row r="16" spans="1:15">
      <c r="A16" s="86"/>
      <c r="B16" t="s">
        <v>847</v>
      </c>
    </row>
    <row r="17" spans="1:1">
      <c r="A17" s="22"/>
    </row>
    <row r="18" spans="1:1">
      <c r="A18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5E73-FEBB-48CB-A939-2AD7CB7318C5}">
  <dimension ref="A1:O93"/>
  <sheetViews>
    <sheetView tabSelected="1" topLeftCell="A76" workbookViewId="0">
      <selection activeCell="A86" sqref="A86:B92"/>
    </sheetView>
  </sheetViews>
  <sheetFormatPr defaultRowHeight="15"/>
  <cols>
    <col min="1" max="1" width="28.140625" style="24" customWidth="1"/>
    <col min="2" max="2" width="21.140625" style="24" customWidth="1"/>
    <col min="3" max="3" width="17.28515625" style="24" customWidth="1"/>
    <col min="4" max="4" width="23.140625" style="24" customWidth="1"/>
    <col min="5" max="14" width="9.140625" style="24"/>
    <col min="15" max="15" width="22.140625" style="24" bestFit="1" customWidth="1"/>
    <col min="16" max="16384" width="9.140625" style="24"/>
  </cols>
  <sheetData>
    <row r="1" spans="1:14">
      <c r="A1" s="23" t="s">
        <v>860</v>
      </c>
      <c r="B1" s="23" t="s">
        <v>1</v>
      </c>
      <c r="C1" s="23" t="s">
        <v>2</v>
      </c>
      <c r="D1" s="23">
        <v>3401</v>
      </c>
      <c r="E1" s="23">
        <v>3402</v>
      </c>
      <c r="F1" s="23">
        <v>3403</v>
      </c>
      <c r="G1" s="23">
        <v>3404</v>
      </c>
      <c r="H1" s="23">
        <v>3405</v>
      </c>
      <c r="I1" s="23">
        <v>3406</v>
      </c>
      <c r="J1" s="23">
        <v>3407</v>
      </c>
      <c r="K1" s="23">
        <v>3408</v>
      </c>
      <c r="L1" s="23">
        <v>3409</v>
      </c>
      <c r="M1" s="23">
        <v>3410</v>
      </c>
      <c r="N1" s="23">
        <v>3411</v>
      </c>
    </row>
    <row r="2" spans="1:14" ht="30.75">
      <c r="A2" s="25" t="s">
        <v>644</v>
      </c>
      <c r="B2" s="25" t="s">
        <v>645</v>
      </c>
      <c r="C2" s="26" t="s">
        <v>646</v>
      </c>
      <c r="D2" s="27" t="s">
        <v>839</v>
      </c>
      <c r="E2" s="27" t="s">
        <v>839</v>
      </c>
      <c r="F2" s="26" t="s">
        <v>839</v>
      </c>
      <c r="G2" s="27" t="s">
        <v>6</v>
      </c>
      <c r="H2" s="27" t="s">
        <v>6</v>
      </c>
      <c r="I2" s="27" t="s">
        <v>6</v>
      </c>
      <c r="J2" s="26" t="s">
        <v>839</v>
      </c>
      <c r="K2" s="27" t="s">
        <v>839</v>
      </c>
      <c r="L2" s="27" t="s">
        <v>839</v>
      </c>
      <c r="M2" s="27" t="s">
        <v>6</v>
      </c>
      <c r="N2" s="28"/>
    </row>
    <row r="3" spans="1:14" ht="45.75">
      <c r="A3" s="25" t="s">
        <v>647</v>
      </c>
      <c r="B3" s="25" t="s">
        <v>648</v>
      </c>
      <c r="C3" s="26" t="s">
        <v>649</v>
      </c>
      <c r="D3" s="27" t="s">
        <v>839</v>
      </c>
      <c r="E3" s="27" t="s">
        <v>6</v>
      </c>
      <c r="F3" s="26" t="s">
        <v>839</v>
      </c>
      <c r="G3" s="26" t="s">
        <v>839</v>
      </c>
      <c r="H3" s="26" t="s">
        <v>839</v>
      </c>
      <c r="I3" s="26" t="s">
        <v>839</v>
      </c>
      <c r="J3" s="26" t="s">
        <v>839</v>
      </c>
      <c r="K3" s="27" t="s">
        <v>839</v>
      </c>
      <c r="L3" s="27" t="s">
        <v>839</v>
      </c>
      <c r="M3" s="26" t="s">
        <v>839</v>
      </c>
      <c r="N3" s="26" t="s">
        <v>839</v>
      </c>
    </row>
    <row r="4" spans="1:14" ht="30.75">
      <c r="A4" s="25" t="s">
        <v>650</v>
      </c>
      <c r="B4" s="25" t="s">
        <v>651</v>
      </c>
      <c r="C4" s="26" t="s">
        <v>652</v>
      </c>
      <c r="D4" s="26" t="s">
        <v>839</v>
      </c>
      <c r="E4" s="27" t="s">
        <v>839</v>
      </c>
      <c r="F4" s="27" t="s">
        <v>6</v>
      </c>
      <c r="G4" s="26" t="s">
        <v>839</v>
      </c>
      <c r="H4" s="26" t="s">
        <v>839</v>
      </c>
      <c r="I4" s="26" t="s">
        <v>839</v>
      </c>
      <c r="J4" s="26" t="s">
        <v>839</v>
      </c>
      <c r="K4" s="27" t="s">
        <v>839</v>
      </c>
      <c r="L4" s="27" t="s">
        <v>839</v>
      </c>
      <c r="M4" s="26" t="s">
        <v>839</v>
      </c>
      <c r="N4" s="26" t="s">
        <v>839</v>
      </c>
    </row>
    <row r="5" spans="1:14" ht="30.75">
      <c r="A5" s="25" t="s">
        <v>653</v>
      </c>
      <c r="B5" s="25" t="s">
        <v>654</v>
      </c>
      <c r="C5" s="26" t="s">
        <v>655</v>
      </c>
      <c r="D5" s="27" t="s">
        <v>839</v>
      </c>
      <c r="E5" s="27" t="s">
        <v>6</v>
      </c>
      <c r="F5" s="26" t="s">
        <v>839</v>
      </c>
      <c r="G5" s="26" t="s">
        <v>839</v>
      </c>
      <c r="H5" s="26" t="s">
        <v>839</v>
      </c>
      <c r="I5" s="26" t="s">
        <v>839</v>
      </c>
      <c r="J5" s="26" t="s">
        <v>839</v>
      </c>
      <c r="K5" s="27" t="s">
        <v>839</v>
      </c>
      <c r="L5" s="27" t="s">
        <v>839</v>
      </c>
      <c r="M5" s="26" t="s">
        <v>839</v>
      </c>
      <c r="N5" s="26" t="s">
        <v>839</v>
      </c>
    </row>
    <row r="6" spans="1:14" ht="30.75">
      <c r="A6" s="25" t="s">
        <v>656</v>
      </c>
      <c r="B6" s="25" t="s">
        <v>657</v>
      </c>
      <c r="C6" s="26" t="s">
        <v>362</v>
      </c>
      <c r="D6" s="27" t="s">
        <v>839</v>
      </c>
      <c r="E6" s="27" t="s">
        <v>839</v>
      </c>
      <c r="F6" s="27" t="s">
        <v>6</v>
      </c>
      <c r="G6" s="26" t="s">
        <v>839</v>
      </c>
      <c r="H6" s="26" t="s">
        <v>839</v>
      </c>
      <c r="I6" s="26" t="s">
        <v>839</v>
      </c>
      <c r="J6" s="26" t="s">
        <v>839</v>
      </c>
      <c r="K6" s="27" t="s">
        <v>6</v>
      </c>
      <c r="L6" s="27" t="s">
        <v>839</v>
      </c>
      <c r="M6" s="26" t="s">
        <v>839</v>
      </c>
      <c r="N6" s="26" t="s">
        <v>839</v>
      </c>
    </row>
    <row r="7" spans="1:14" ht="30.75">
      <c r="A7" s="25" t="s">
        <v>658</v>
      </c>
      <c r="B7" s="25" t="s">
        <v>659</v>
      </c>
      <c r="C7" s="26" t="s">
        <v>660</v>
      </c>
      <c r="D7" s="27" t="s">
        <v>839</v>
      </c>
      <c r="E7" s="27" t="s">
        <v>6</v>
      </c>
      <c r="F7" s="26" t="s">
        <v>839</v>
      </c>
      <c r="G7" s="26" t="s">
        <v>839</v>
      </c>
      <c r="H7" s="26" t="s">
        <v>839</v>
      </c>
      <c r="I7" s="26" t="s">
        <v>839</v>
      </c>
      <c r="J7" s="26" t="s">
        <v>839</v>
      </c>
      <c r="K7" s="27" t="s">
        <v>839</v>
      </c>
      <c r="L7" s="27" t="s">
        <v>839</v>
      </c>
      <c r="M7" s="26" t="s">
        <v>839</v>
      </c>
      <c r="N7" s="26" t="s">
        <v>839</v>
      </c>
    </row>
    <row r="8" spans="1:14" ht="45.75">
      <c r="A8" s="25" t="s">
        <v>661</v>
      </c>
      <c r="B8" s="25" t="s">
        <v>662</v>
      </c>
      <c r="C8" s="26" t="s">
        <v>663</v>
      </c>
      <c r="D8" s="27" t="s">
        <v>6</v>
      </c>
      <c r="E8" s="27" t="s">
        <v>6</v>
      </c>
      <c r="F8" s="26" t="s">
        <v>839</v>
      </c>
      <c r="G8" s="26" t="s">
        <v>839</v>
      </c>
      <c r="H8" s="26" t="s">
        <v>839</v>
      </c>
      <c r="I8" s="26" t="s">
        <v>839</v>
      </c>
      <c r="J8" s="26" t="s">
        <v>839</v>
      </c>
      <c r="K8" s="27" t="s">
        <v>839</v>
      </c>
      <c r="L8" s="27" t="s">
        <v>839</v>
      </c>
      <c r="M8" s="26" t="s">
        <v>839</v>
      </c>
      <c r="N8" s="26" t="s">
        <v>839</v>
      </c>
    </row>
    <row r="9" spans="1:14" ht="30.75">
      <c r="A9" s="25" t="s">
        <v>664</v>
      </c>
      <c r="B9" s="25" t="s">
        <v>665</v>
      </c>
      <c r="C9" s="26" t="s">
        <v>666</v>
      </c>
      <c r="D9" s="27" t="s">
        <v>6</v>
      </c>
      <c r="E9" s="27" t="s">
        <v>6</v>
      </c>
      <c r="F9" s="27" t="s">
        <v>6</v>
      </c>
      <c r="G9" s="26" t="s">
        <v>839</v>
      </c>
      <c r="H9" s="26" t="s">
        <v>839</v>
      </c>
      <c r="I9" s="26" t="s">
        <v>839</v>
      </c>
      <c r="J9" s="26" t="s">
        <v>839</v>
      </c>
      <c r="K9" s="27" t="s">
        <v>6</v>
      </c>
      <c r="L9" s="27" t="s">
        <v>839</v>
      </c>
      <c r="M9" s="26" t="s">
        <v>839</v>
      </c>
      <c r="N9" s="27" t="s">
        <v>6</v>
      </c>
    </row>
    <row r="10" spans="1:14" ht="30.75">
      <c r="A10" s="25" t="s">
        <v>667</v>
      </c>
      <c r="B10" s="25" t="s">
        <v>668</v>
      </c>
      <c r="C10" s="26" t="s">
        <v>63</v>
      </c>
      <c r="D10" s="27" t="s">
        <v>839</v>
      </c>
      <c r="E10" s="27" t="s">
        <v>6</v>
      </c>
      <c r="F10" s="26" t="s">
        <v>839</v>
      </c>
      <c r="G10" s="26" t="s">
        <v>839</v>
      </c>
      <c r="H10" s="26" t="s">
        <v>839</v>
      </c>
      <c r="I10" s="26" t="s">
        <v>839</v>
      </c>
      <c r="J10" s="26" t="s">
        <v>839</v>
      </c>
      <c r="K10" s="27" t="s">
        <v>839</v>
      </c>
      <c r="L10" s="27" t="s">
        <v>839</v>
      </c>
      <c r="M10" s="26" t="s">
        <v>839</v>
      </c>
      <c r="N10" s="26" t="s">
        <v>839</v>
      </c>
    </row>
    <row r="11" spans="1:14" ht="30.75">
      <c r="A11" s="25" t="s">
        <v>669</v>
      </c>
      <c r="B11" s="25" t="s">
        <v>670</v>
      </c>
      <c r="C11" s="26" t="s">
        <v>671</v>
      </c>
      <c r="D11" s="27" t="s">
        <v>839</v>
      </c>
      <c r="E11" s="27" t="s">
        <v>6</v>
      </c>
      <c r="F11" s="26" t="s">
        <v>839</v>
      </c>
      <c r="G11" s="26" t="s">
        <v>839</v>
      </c>
      <c r="H11" s="26" t="s">
        <v>839</v>
      </c>
      <c r="I11" s="26" t="s">
        <v>839</v>
      </c>
      <c r="J11" s="26" t="s">
        <v>839</v>
      </c>
      <c r="K11" s="27" t="s">
        <v>839</v>
      </c>
      <c r="L11" s="27" t="s">
        <v>839</v>
      </c>
      <c r="M11" s="26" t="s">
        <v>839</v>
      </c>
      <c r="N11" s="26" t="s">
        <v>839</v>
      </c>
    </row>
    <row r="12" spans="1:14" ht="45.75">
      <c r="A12" s="25" t="s">
        <v>672</v>
      </c>
      <c r="B12" s="25" t="s">
        <v>673</v>
      </c>
      <c r="C12" s="26" t="s">
        <v>674</v>
      </c>
      <c r="D12" s="27" t="s">
        <v>839</v>
      </c>
      <c r="E12" s="27" t="s">
        <v>839</v>
      </c>
      <c r="F12" s="26" t="s">
        <v>839</v>
      </c>
      <c r="G12" s="26" t="s">
        <v>839</v>
      </c>
      <c r="H12" s="26" t="s">
        <v>839</v>
      </c>
      <c r="I12" s="26" t="s">
        <v>839</v>
      </c>
      <c r="J12" s="26" t="s">
        <v>839</v>
      </c>
      <c r="K12" s="27" t="s">
        <v>839</v>
      </c>
      <c r="L12" s="27" t="s">
        <v>839</v>
      </c>
      <c r="M12" s="26" t="s">
        <v>839</v>
      </c>
      <c r="N12" s="27" t="s">
        <v>6</v>
      </c>
    </row>
    <row r="13" spans="1:14" ht="45.75">
      <c r="A13" s="25" t="s">
        <v>675</v>
      </c>
      <c r="B13" s="25" t="s">
        <v>676</v>
      </c>
      <c r="C13" s="26" t="s">
        <v>677</v>
      </c>
      <c r="D13" s="26" t="s">
        <v>839</v>
      </c>
      <c r="E13" s="27" t="s">
        <v>839</v>
      </c>
      <c r="F13" s="26" t="s">
        <v>839</v>
      </c>
      <c r="G13" s="27" t="s">
        <v>6</v>
      </c>
      <c r="H13" s="27" t="s">
        <v>6</v>
      </c>
      <c r="I13" s="27" t="s">
        <v>6</v>
      </c>
      <c r="J13" s="26" t="s">
        <v>839</v>
      </c>
      <c r="K13" s="27" t="s">
        <v>839</v>
      </c>
      <c r="L13" s="27" t="s">
        <v>839</v>
      </c>
      <c r="M13" s="27" t="s">
        <v>6</v>
      </c>
      <c r="N13" s="26" t="s">
        <v>839</v>
      </c>
    </row>
    <row r="14" spans="1:14" ht="30.75">
      <c r="A14" s="25" t="s">
        <v>678</v>
      </c>
      <c r="B14" s="25" t="s">
        <v>679</v>
      </c>
      <c r="C14" s="26" t="s">
        <v>680</v>
      </c>
      <c r="D14" s="27" t="s">
        <v>839</v>
      </c>
      <c r="E14" s="27" t="s">
        <v>839</v>
      </c>
      <c r="F14" s="26" t="s">
        <v>839</v>
      </c>
      <c r="G14" s="27" t="s">
        <v>6</v>
      </c>
      <c r="H14" s="27" t="s">
        <v>6</v>
      </c>
      <c r="I14" s="27" t="s">
        <v>6</v>
      </c>
      <c r="J14" s="26" t="s">
        <v>839</v>
      </c>
      <c r="K14" s="27" t="s">
        <v>839</v>
      </c>
      <c r="L14" s="27" t="s">
        <v>839</v>
      </c>
      <c r="M14" s="27" t="s">
        <v>6</v>
      </c>
      <c r="N14" s="26" t="s">
        <v>839</v>
      </c>
    </row>
    <row r="15" spans="1:14" ht="30.75">
      <c r="A15" s="25" t="s">
        <v>861</v>
      </c>
      <c r="B15" s="25" t="s">
        <v>859</v>
      </c>
      <c r="C15" s="26" t="s">
        <v>849</v>
      </c>
      <c r="D15" s="27" t="s">
        <v>839</v>
      </c>
      <c r="E15" s="27" t="s">
        <v>6</v>
      </c>
      <c r="F15" s="27" t="s">
        <v>6</v>
      </c>
      <c r="G15" s="27" t="s">
        <v>6</v>
      </c>
      <c r="H15" s="27" t="s">
        <v>6</v>
      </c>
      <c r="I15" s="26" t="s">
        <v>839</v>
      </c>
      <c r="J15" s="26" t="s">
        <v>839</v>
      </c>
      <c r="K15" s="27" t="s">
        <v>839</v>
      </c>
      <c r="L15" s="27" t="s">
        <v>839</v>
      </c>
      <c r="M15" s="26" t="s">
        <v>839</v>
      </c>
      <c r="N15" s="26" t="s">
        <v>839</v>
      </c>
    </row>
    <row r="16" spans="1:14" ht="30.75">
      <c r="A16" s="25" t="s">
        <v>681</v>
      </c>
      <c r="B16" s="25" t="s">
        <v>682</v>
      </c>
      <c r="C16" s="26" t="s">
        <v>683</v>
      </c>
      <c r="D16" s="27" t="s">
        <v>839</v>
      </c>
      <c r="E16" s="27" t="s">
        <v>839</v>
      </c>
      <c r="F16" s="26" t="s">
        <v>839</v>
      </c>
      <c r="G16" s="27" t="s">
        <v>6</v>
      </c>
      <c r="H16" s="27" t="s">
        <v>6</v>
      </c>
      <c r="I16" s="27" t="s">
        <v>6</v>
      </c>
      <c r="J16" s="26" t="s">
        <v>839</v>
      </c>
      <c r="K16" s="27" t="s">
        <v>839</v>
      </c>
      <c r="L16" s="27" t="s">
        <v>839</v>
      </c>
      <c r="M16" s="27" t="s">
        <v>6</v>
      </c>
      <c r="N16" s="26" t="s">
        <v>839</v>
      </c>
    </row>
    <row r="17" spans="1:14" ht="45.75">
      <c r="A17" s="25" t="s">
        <v>684</v>
      </c>
      <c r="B17" s="25" t="s">
        <v>543</v>
      </c>
      <c r="C17" s="26" t="s">
        <v>685</v>
      </c>
      <c r="D17" s="27" t="s">
        <v>839</v>
      </c>
      <c r="E17" s="27" t="s">
        <v>839</v>
      </c>
      <c r="F17" s="26" t="s">
        <v>839</v>
      </c>
      <c r="G17" s="27" t="s">
        <v>6</v>
      </c>
      <c r="H17" s="27" t="s">
        <v>6</v>
      </c>
      <c r="I17" s="27" t="s">
        <v>6</v>
      </c>
      <c r="J17" s="26" t="s">
        <v>839</v>
      </c>
      <c r="K17" s="27" t="s">
        <v>839</v>
      </c>
      <c r="L17" s="27" t="s">
        <v>839</v>
      </c>
      <c r="M17" s="27" t="s">
        <v>6</v>
      </c>
      <c r="N17" s="26" t="s">
        <v>839</v>
      </c>
    </row>
    <row r="18" spans="1:14" ht="30.75">
      <c r="A18" s="25" t="s">
        <v>686</v>
      </c>
      <c r="B18" s="25" t="s">
        <v>687</v>
      </c>
      <c r="C18" s="26" t="s">
        <v>688</v>
      </c>
      <c r="D18" s="27" t="s">
        <v>839</v>
      </c>
      <c r="E18" s="27" t="s">
        <v>839</v>
      </c>
      <c r="F18" s="26" t="s">
        <v>839</v>
      </c>
      <c r="G18" s="27" t="s">
        <v>6</v>
      </c>
      <c r="H18" s="27" t="s">
        <v>6</v>
      </c>
      <c r="I18" s="27" t="s">
        <v>6</v>
      </c>
      <c r="J18" s="26" t="s">
        <v>839</v>
      </c>
      <c r="K18" s="27" t="s">
        <v>839</v>
      </c>
      <c r="L18" s="27" t="s">
        <v>839</v>
      </c>
      <c r="M18" s="27" t="s">
        <v>6</v>
      </c>
      <c r="N18" s="26" t="s">
        <v>839</v>
      </c>
    </row>
    <row r="19" spans="1:14" ht="30.75">
      <c r="A19" s="25" t="s">
        <v>689</v>
      </c>
      <c r="B19" s="25" t="s">
        <v>690</v>
      </c>
      <c r="C19" s="26" t="s">
        <v>547</v>
      </c>
      <c r="D19" s="27" t="s">
        <v>839</v>
      </c>
      <c r="E19" s="27" t="s">
        <v>839</v>
      </c>
      <c r="F19" s="27" t="s">
        <v>6</v>
      </c>
      <c r="G19" s="27" t="s">
        <v>6</v>
      </c>
      <c r="H19" s="27" t="s">
        <v>6</v>
      </c>
      <c r="I19" s="26" t="s">
        <v>839</v>
      </c>
      <c r="J19" s="26" t="s">
        <v>839</v>
      </c>
      <c r="K19" s="27" t="s">
        <v>839</v>
      </c>
      <c r="L19" s="26" t="s">
        <v>839</v>
      </c>
      <c r="M19" s="29" t="s">
        <v>6</v>
      </c>
      <c r="N19" s="26" t="s">
        <v>839</v>
      </c>
    </row>
    <row r="20" spans="1:14" ht="30.75">
      <c r="A20" s="25" t="s">
        <v>691</v>
      </c>
      <c r="B20" s="25" t="s">
        <v>692</v>
      </c>
      <c r="C20" s="26" t="s">
        <v>395</v>
      </c>
      <c r="D20" s="27" t="s">
        <v>839</v>
      </c>
      <c r="E20" s="27" t="s">
        <v>839</v>
      </c>
      <c r="F20" s="27" t="s">
        <v>6</v>
      </c>
      <c r="G20" s="27" t="s">
        <v>839</v>
      </c>
      <c r="H20" s="27" t="s">
        <v>6</v>
      </c>
      <c r="I20" s="27" t="s">
        <v>6</v>
      </c>
      <c r="J20" s="27" t="s">
        <v>6</v>
      </c>
      <c r="K20" s="26" t="s">
        <v>839</v>
      </c>
      <c r="L20" s="27" t="s">
        <v>6</v>
      </c>
      <c r="M20" s="27" t="s">
        <v>6</v>
      </c>
      <c r="N20" s="26" t="s">
        <v>839</v>
      </c>
    </row>
    <row r="21" spans="1:14" ht="30.75">
      <c r="A21" s="25" t="s">
        <v>693</v>
      </c>
      <c r="B21" s="25" t="s">
        <v>694</v>
      </c>
      <c r="C21" s="26" t="s">
        <v>695</v>
      </c>
      <c r="D21" s="27" t="s">
        <v>839</v>
      </c>
      <c r="E21" s="27" t="s">
        <v>839</v>
      </c>
      <c r="F21" s="27" t="s">
        <v>6</v>
      </c>
      <c r="G21" s="27" t="s">
        <v>6</v>
      </c>
      <c r="H21" s="27" t="s">
        <v>6</v>
      </c>
      <c r="I21" s="26" t="s">
        <v>839</v>
      </c>
      <c r="J21" s="27" t="s">
        <v>839</v>
      </c>
      <c r="K21" s="27" t="s">
        <v>839</v>
      </c>
      <c r="L21" s="27" t="s">
        <v>6</v>
      </c>
      <c r="M21" s="26" t="s">
        <v>839</v>
      </c>
      <c r="N21" s="26" t="s">
        <v>839</v>
      </c>
    </row>
    <row r="22" spans="1:14" ht="30.75">
      <c r="A22" s="25" t="s">
        <v>696</v>
      </c>
      <c r="B22" s="25" t="s">
        <v>697</v>
      </c>
      <c r="C22" s="26" t="s">
        <v>698</v>
      </c>
      <c r="D22" s="27" t="s">
        <v>839</v>
      </c>
      <c r="E22" s="27" t="s">
        <v>839</v>
      </c>
      <c r="F22" s="27" t="s">
        <v>6</v>
      </c>
      <c r="G22" s="27" t="s">
        <v>6</v>
      </c>
      <c r="H22" s="27" t="s">
        <v>6</v>
      </c>
      <c r="I22" s="26" t="s">
        <v>839</v>
      </c>
      <c r="J22" s="27" t="s">
        <v>839</v>
      </c>
      <c r="K22" s="27" t="s">
        <v>839</v>
      </c>
      <c r="L22" s="27" t="s">
        <v>6</v>
      </c>
      <c r="M22" s="26" t="s">
        <v>839</v>
      </c>
      <c r="N22" s="26" t="s">
        <v>839</v>
      </c>
    </row>
    <row r="23" spans="1:14" ht="30.75">
      <c r="A23" s="25" t="s">
        <v>699</v>
      </c>
      <c r="B23" s="25" t="s">
        <v>700</v>
      </c>
      <c r="C23" s="26" t="s">
        <v>701</v>
      </c>
      <c r="D23" s="26" t="s">
        <v>839</v>
      </c>
      <c r="E23" s="27" t="s">
        <v>6</v>
      </c>
      <c r="F23" s="27" t="s">
        <v>6</v>
      </c>
      <c r="G23" s="27" t="s">
        <v>6</v>
      </c>
      <c r="H23" s="27" t="s">
        <v>6</v>
      </c>
      <c r="I23" s="27" t="s">
        <v>6</v>
      </c>
      <c r="J23" s="27" t="s">
        <v>839</v>
      </c>
      <c r="K23" s="27" t="s">
        <v>6</v>
      </c>
      <c r="L23" s="27" t="s">
        <v>6</v>
      </c>
      <c r="M23" s="27" t="s">
        <v>6</v>
      </c>
      <c r="N23" s="27" t="s">
        <v>6</v>
      </c>
    </row>
    <row r="24" spans="1:14" ht="30.75">
      <c r="A24" s="25" t="s">
        <v>702</v>
      </c>
      <c r="B24" s="25" t="s">
        <v>703</v>
      </c>
      <c r="C24" s="26" t="s">
        <v>704</v>
      </c>
      <c r="D24" s="26" t="s">
        <v>839</v>
      </c>
      <c r="E24" s="27" t="s">
        <v>6</v>
      </c>
      <c r="F24" s="27" t="s">
        <v>6</v>
      </c>
      <c r="G24" s="27" t="s">
        <v>6</v>
      </c>
      <c r="H24" s="27" t="s">
        <v>6</v>
      </c>
      <c r="I24" s="27" t="s">
        <v>6</v>
      </c>
      <c r="J24" s="27" t="s">
        <v>839</v>
      </c>
      <c r="K24" s="27" t="s">
        <v>6</v>
      </c>
      <c r="L24" s="27" t="s">
        <v>6</v>
      </c>
      <c r="M24" s="27" t="s">
        <v>6</v>
      </c>
      <c r="N24" s="27" t="s">
        <v>6</v>
      </c>
    </row>
    <row r="25" spans="1:14" ht="30.75">
      <c r="A25" s="25" t="s">
        <v>705</v>
      </c>
      <c r="B25" s="25" t="s">
        <v>706</v>
      </c>
      <c r="C25" s="26" t="s">
        <v>707</v>
      </c>
      <c r="D25" s="27" t="s">
        <v>839</v>
      </c>
      <c r="E25" s="27" t="s">
        <v>6</v>
      </c>
      <c r="F25" s="26" t="s">
        <v>839</v>
      </c>
      <c r="G25" s="26" t="s">
        <v>839</v>
      </c>
      <c r="H25" s="26" t="s">
        <v>839</v>
      </c>
      <c r="I25" s="26" t="s">
        <v>839</v>
      </c>
      <c r="J25" s="26" t="s">
        <v>839</v>
      </c>
      <c r="K25" s="27" t="s">
        <v>6</v>
      </c>
      <c r="L25" s="27" t="s">
        <v>6</v>
      </c>
      <c r="M25" s="26" t="s">
        <v>839</v>
      </c>
      <c r="N25" s="27" t="s">
        <v>6</v>
      </c>
    </row>
    <row r="26" spans="1:14" ht="30.75">
      <c r="A26" s="25" t="s">
        <v>708</v>
      </c>
      <c r="B26" s="25" t="s">
        <v>709</v>
      </c>
      <c r="C26" s="26" t="s">
        <v>710</v>
      </c>
      <c r="D26" s="27" t="s">
        <v>839</v>
      </c>
      <c r="E26" s="27" t="s">
        <v>839</v>
      </c>
      <c r="F26" s="26" t="s">
        <v>839</v>
      </c>
      <c r="G26" s="27" t="s">
        <v>6</v>
      </c>
      <c r="H26" s="27" t="s">
        <v>6</v>
      </c>
      <c r="I26" s="26" t="s">
        <v>839</v>
      </c>
      <c r="J26" s="26" t="s">
        <v>839</v>
      </c>
      <c r="K26" s="27" t="s">
        <v>839</v>
      </c>
      <c r="L26" s="27" t="s">
        <v>839</v>
      </c>
      <c r="M26" s="26" t="s">
        <v>839</v>
      </c>
      <c r="N26" s="27" t="s">
        <v>6</v>
      </c>
    </row>
    <row r="27" spans="1:14" ht="30.75">
      <c r="A27" s="25" t="s">
        <v>711</v>
      </c>
      <c r="B27" s="25" t="s">
        <v>712</v>
      </c>
      <c r="C27" s="26" t="s">
        <v>713</v>
      </c>
      <c r="D27" s="27" t="s">
        <v>839</v>
      </c>
      <c r="E27" s="27" t="s">
        <v>839</v>
      </c>
      <c r="F27" s="27" t="s">
        <v>6</v>
      </c>
      <c r="G27" s="26" t="s">
        <v>839</v>
      </c>
      <c r="H27" s="26" t="s">
        <v>839</v>
      </c>
      <c r="I27" s="26" t="s">
        <v>839</v>
      </c>
      <c r="J27" s="26" t="s">
        <v>839</v>
      </c>
      <c r="K27" s="27" t="s">
        <v>839</v>
      </c>
      <c r="L27" s="27" t="s">
        <v>839</v>
      </c>
      <c r="M27" s="26" t="s">
        <v>839</v>
      </c>
      <c r="N27" s="26" t="s">
        <v>839</v>
      </c>
    </row>
    <row r="28" spans="1:14" ht="45.75">
      <c r="A28" s="25" t="s">
        <v>714</v>
      </c>
      <c r="B28" s="25" t="s">
        <v>715</v>
      </c>
      <c r="C28" s="26" t="s">
        <v>716</v>
      </c>
      <c r="D28" s="27" t="s">
        <v>839</v>
      </c>
      <c r="E28" s="27" t="s">
        <v>839</v>
      </c>
      <c r="F28" s="27" t="s">
        <v>6</v>
      </c>
      <c r="G28" s="27" t="s">
        <v>6</v>
      </c>
      <c r="H28" s="27" t="s">
        <v>6</v>
      </c>
      <c r="I28" s="27" t="s">
        <v>839</v>
      </c>
      <c r="J28" s="26" t="s">
        <v>839</v>
      </c>
      <c r="K28" s="27" t="s">
        <v>6</v>
      </c>
      <c r="L28" s="26" t="s">
        <v>839</v>
      </c>
      <c r="M28" s="27" t="s">
        <v>6</v>
      </c>
      <c r="N28" s="26" t="s">
        <v>839</v>
      </c>
    </row>
    <row r="29" spans="1:14" ht="60.75">
      <c r="A29" s="25" t="s">
        <v>717</v>
      </c>
      <c r="B29" s="25" t="s">
        <v>862</v>
      </c>
      <c r="C29" s="26" t="s">
        <v>719</v>
      </c>
      <c r="D29" s="27" t="s">
        <v>839</v>
      </c>
      <c r="E29" s="27" t="s">
        <v>6</v>
      </c>
      <c r="F29" s="26" t="s">
        <v>839</v>
      </c>
      <c r="G29" s="26" t="s">
        <v>839</v>
      </c>
      <c r="H29" s="26" t="s">
        <v>839</v>
      </c>
      <c r="I29" s="26" t="s">
        <v>839</v>
      </c>
      <c r="J29" s="26" t="s">
        <v>839</v>
      </c>
      <c r="K29" s="27" t="s">
        <v>6</v>
      </c>
      <c r="L29" s="27" t="s">
        <v>6</v>
      </c>
      <c r="M29" s="26" t="s">
        <v>839</v>
      </c>
      <c r="N29" s="27" t="s">
        <v>6</v>
      </c>
    </row>
    <row r="30" spans="1:14" ht="30.75">
      <c r="A30" s="25" t="s">
        <v>720</v>
      </c>
      <c r="B30" s="25" t="s">
        <v>721</v>
      </c>
      <c r="C30" s="26" t="s">
        <v>722</v>
      </c>
      <c r="D30" s="27" t="s">
        <v>839</v>
      </c>
      <c r="E30" s="27" t="s">
        <v>6</v>
      </c>
      <c r="F30" s="27" t="s">
        <v>839</v>
      </c>
      <c r="G30" s="27" t="s">
        <v>839</v>
      </c>
      <c r="H30" s="27" t="s">
        <v>839</v>
      </c>
      <c r="I30" s="27" t="s">
        <v>839</v>
      </c>
      <c r="J30" s="26" t="s">
        <v>839</v>
      </c>
      <c r="K30" s="27" t="s">
        <v>6</v>
      </c>
      <c r="L30" s="27" t="s">
        <v>6</v>
      </c>
      <c r="M30" s="27" t="s">
        <v>6</v>
      </c>
      <c r="N30" s="27" t="s">
        <v>6</v>
      </c>
    </row>
    <row r="31" spans="1:14" ht="30.75">
      <c r="A31" s="25" t="s">
        <v>723</v>
      </c>
      <c r="B31" s="25" t="s">
        <v>724</v>
      </c>
      <c r="C31" s="26" t="s">
        <v>725</v>
      </c>
      <c r="D31" s="25" t="s">
        <v>839</v>
      </c>
      <c r="E31" s="27" t="s">
        <v>6</v>
      </c>
      <c r="F31" s="26" t="s">
        <v>839</v>
      </c>
      <c r="G31" s="27" t="s">
        <v>839</v>
      </c>
      <c r="H31" s="27" t="s">
        <v>839</v>
      </c>
      <c r="I31" s="26" t="s">
        <v>839</v>
      </c>
      <c r="J31" s="26" t="s">
        <v>839</v>
      </c>
      <c r="K31" s="27" t="s">
        <v>6</v>
      </c>
      <c r="L31" s="27" t="s">
        <v>6</v>
      </c>
      <c r="M31" s="27" t="s">
        <v>839</v>
      </c>
      <c r="N31" s="27" t="s">
        <v>6</v>
      </c>
    </row>
    <row r="32" spans="1:14" ht="30.75">
      <c r="A32" s="25" t="s">
        <v>726</v>
      </c>
      <c r="B32" s="25" t="s">
        <v>727</v>
      </c>
      <c r="C32" s="26" t="s">
        <v>728</v>
      </c>
      <c r="D32" s="25" t="s">
        <v>839</v>
      </c>
      <c r="E32" s="27" t="s">
        <v>6</v>
      </c>
      <c r="F32" s="27" t="s">
        <v>6</v>
      </c>
      <c r="G32" s="27" t="s">
        <v>839</v>
      </c>
      <c r="H32" s="27" t="s">
        <v>839</v>
      </c>
      <c r="I32" s="26" t="s">
        <v>839</v>
      </c>
      <c r="J32" s="26" t="s">
        <v>839</v>
      </c>
      <c r="K32" s="26" t="s">
        <v>839</v>
      </c>
      <c r="L32" s="26" t="s">
        <v>839</v>
      </c>
      <c r="M32" s="27" t="s">
        <v>839</v>
      </c>
      <c r="N32" s="27" t="s">
        <v>6</v>
      </c>
    </row>
    <row r="33" spans="1:15" ht="30.75">
      <c r="A33" s="25" t="s">
        <v>729</v>
      </c>
      <c r="B33" s="25" t="s">
        <v>730</v>
      </c>
      <c r="C33" s="26" t="s">
        <v>731</v>
      </c>
      <c r="D33" s="25" t="s">
        <v>839</v>
      </c>
      <c r="E33" s="27" t="s">
        <v>6</v>
      </c>
      <c r="F33" s="26" t="s">
        <v>839</v>
      </c>
      <c r="G33" s="27" t="s">
        <v>839</v>
      </c>
      <c r="H33" s="27" t="s">
        <v>839</v>
      </c>
      <c r="I33" s="26" t="s">
        <v>839</v>
      </c>
      <c r="J33" s="26" t="s">
        <v>839</v>
      </c>
      <c r="K33" s="26" t="s">
        <v>839</v>
      </c>
      <c r="L33" s="26" t="s">
        <v>839</v>
      </c>
      <c r="M33" s="26" t="s">
        <v>839</v>
      </c>
      <c r="N33" s="27" t="s">
        <v>839</v>
      </c>
    </row>
    <row r="34" spans="1:15" ht="30.75">
      <c r="A34" s="25" t="s">
        <v>732</v>
      </c>
      <c r="B34" s="25" t="s">
        <v>733</v>
      </c>
      <c r="C34" s="26" t="s">
        <v>734</v>
      </c>
      <c r="D34" s="27" t="s">
        <v>6</v>
      </c>
      <c r="E34" s="27" t="s">
        <v>6</v>
      </c>
      <c r="F34" s="26" t="s">
        <v>839</v>
      </c>
      <c r="G34" s="27" t="s">
        <v>839</v>
      </c>
      <c r="H34" s="27" t="s">
        <v>839</v>
      </c>
      <c r="I34" s="26" t="s">
        <v>839</v>
      </c>
      <c r="J34" s="26" t="s">
        <v>839</v>
      </c>
      <c r="K34" s="26" t="s">
        <v>839</v>
      </c>
      <c r="L34" s="26" t="s">
        <v>839</v>
      </c>
      <c r="M34" s="26" t="s">
        <v>839</v>
      </c>
      <c r="N34" s="27" t="s">
        <v>839</v>
      </c>
    </row>
    <row r="35" spans="1:15" ht="30.75">
      <c r="A35" s="25" t="s">
        <v>735</v>
      </c>
      <c r="B35" s="25" t="s">
        <v>736</v>
      </c>
      <c r="C35" s="26" t="s">
        <v>737</v>
      </c>
      <c r="D35" s="25" t="s">
        <v>839</v>
      </c>
      <c r="E35" s="25" t="s">
        <v>839</v>
      </c>
      <c r="F35" s="26" t="s">
        <v>839</v>
      </c>
      <c r="G35" s="27" t="s">
        <v>839</v>
      </c>
      <c r="H35" s="27" t="s">
        <v>839</v>
      </c>
      <c r="I35" s="27" t="s">
        <v>6</v>
      </c>
      <c r="J35" s="26" t="s">
        <v>839</v>
      </c>
      <c r="K35" s="26" t="s">
        <v>839</v>
      </c>
      <c r="L35" s="26" t="s">
        <v>839</v>
      </c>
      <c r="M35" s="26" t="s">
        <v>839</v>
      </c>
      <c r="N35" s="27" t="s">
        <v>839</v>
      </c>
    </row>
    <row r="36" spans="1:15" ht="30.75">
      <c r="A36" s="25" t="s">
        <v>738</v>
      </c>
      <c r="B36" s="25" t="s">
        <v>739</v>
      </c>
      <c r="C36" s="26" t="s">
        <v>740</v>
      </c>
      <c r="D36" s="25" t="s">
        <v>839</v>
      </c>
      <c r="E36" s="25" t="s">
        <v>839</v>
      </c>
      <c r="F36" s="26" t="s">
        <v>839</v>
      </c>
      <c r="G36" s="27" t="s">
        <v>839</v>
      </c>
      <c r="H36" s="27" t="s">
        <v>839</v>
      </c>
      <c r="I36" s="26" t="s">
        <v>839</v>
      </c>
      <c r="J36" s="26" t="s">
        <v>839</v>
      </c>
      <c r="K36" s="26" t="s">
        <v>839</v>
      </c>
      <c r="L36" s="26" t="s">
        <v>839</v>
      </c>
      <c r="M36" s="26" t="s">
        <v>839</v>
      </c>
      <c r="N36" s="27" t="s">
        <v>6</v>
      </c>
    </row>
    <row r="37" spans="1:15" ht="30.75">
      <c r="A37" s="25" t="s">
        <v>741</v>
      </c>
      <c r="B37" s="25" t="s">
        <v>742</v>
      </c>
      <c r="C37" s="26" t="s">
        <v>743</v>
      </c>
      <c r="D37" s="27" t="s">
        <v>6</v>
      </c>
      <c r="E37" s="27" t="s">
        <v>6</v>
      </c>
      <c r="F37" s="26" t="s">
        <v>839</v>
      </c>
      <c r="G37" s="27" t="s">
        <v>839</v>
      </c>
      <c r="H37" s="27" t="s">
        <v>839</v>
      </c>
      <c r="I37" s="26" t="s">
        <v>839</v>
      </c>
      <c r="J37" s="26" t="s">
        <v>839</v>
      </c>
      <c r="K37" s="26" t="s">
        <v>839</v>
      </c>
      <c r="L37" s="26" t="s">
        <v>839</v>
      </c>
      <c r="M37" s="26" t="s">
        <v>839</v>
      </c>
      <c r="N37" s="27" t="s">
        <v>839</v>
      </c>
    </row>
    <row r="38" spans="1:15">
      <c r="A38" s="21" t="s">
        <v>744</v>
      </c>
      <c r="B38" s="21" t="s">
        <v>745</v>
      </c>
      <c r="D38" s="21"/>
      <c r="E38" s="21"/>
      <c r="F38" s="21"/>
      <c r="G38" s="30" t="s">
        <v>6</v>
      </c>
      <c r="H38" s="30"/>
      <c r="I38" s="21"/>
      <c r="J38" s="21"/>
      <c r="K38" s="21"/>
      <c r="L38" s="21"/>
      <c r="M38" s="21"/>
      <c r="N38" s="21"/>
      <c r="O38" s="21"/>
    </row>
    <row r="39" spans="1:15">
      <c r="A39" s="21" t="s">
        <v>747</v>
      </c>
      <c r="B39" s="21" t="s">
        <v>748</v>
      </c>
      <c r="D39" s="21"/>
      <c r="E39" s="21"/>
      <c r="F39" s="21"/>
      <c r="G39" s="30" t="s">
        <v>6</v>
      </c>
      <c r="H39" s="21"/>
      <c r="I39" s="21"/>
      <c r="J39" s="21"/>
      <c r="K39" s="21"/>
      <c r="L39" s="21"/>
      <c r="M39" s="21"/>
      <c r="N39" s="21"/>
      <c r="O39" s="21"/>
    </row>
    <row r="40" spans="1:15">
      <c r="A40" s="21" t="s">
        <v>750</v>
      </c>
      <c r="B40" s="21" t="s">
        <v>751</v>
      </c>
      <c r="D40" s="21"/>
      <c r="E40" s="21"/>
      <c r="F40" s="21"/>
      <c r="G40" s="21"/>
      <c r="H40" s="21"/>
      <c r="I40" s="30" t="s">
        <v>6</v>
      </c>
      <c r="J40" s="21"/>
      <c r="K40" s="21"/>
      <c r="L40" s="21"/>
      <c r="M40" s="21"/>
      <c r="N40" s="21"/>
      <c r="O40" s="21"/>
    </row>
    <row r="41" spans="1:15">
      <c r="A41" s="21" t="s">
        <v>753</v>
      </c>
      <c r="B41" s="21" t="s">
        <v>754</v>
      </c>
      <c r="D41" s="21"/>
      <c r="E41" s="21"/>
      <c r="F41" s="30" t="s">
        <v>6</v>
      </c>
      <c r="G41" s="30" t="s">
        <v>6</v>
      </c>
      <c r="H41" s="30" t="s">
        <v>6</v>
      </c>
      <c r="I41" s="30" t="s">
        <v>6</v>
      </c>
      <c r="J41" s="30"/>
      <c r="K41" s="30" t="s">
        <v>6</v>
      </c>
      <c r="L41" s="21"/>
      <c r="M41" s="21"/>
      <c r="N41" s="21"/>
      <c r="O41" s="21"/>
    </row>
    <row r="42" spans="1:15">
      <c r="A42" s="21" t="s">
        <v>756</v>
      </c>
      <c r="B42" s="21" t="s">
        <v>757</v>
      </c>
      <c r="D42" s="21"/>
      <c r="E42" s="21"/>
      <c r="F42" s="30" t="s">
        <v>6</v>
      </c>
      <c r="G42" s="30"/>
      <c r="H42" s="21"/>
      <c r="I42" s="21"/>
      <c r="J42" s="21"/>
      <c r="K42" s="21"/>
      <c r="L42" s="21"/>
      <c r="M42" s="21"/>
      <c r="N42" s="21"/>
      <c r="O42" s="21"/>
    </row>
    <row r="43" spans="1:15">
      <c r="A43" s="21" t="s">
        <v>759</v>
      </c>
      <c r="B43" s="21" t="s">
        <v>760</v>
      </c>
      <c r="D43" s="21"/>
      <c r="E43" s="21"/>
      <c r="F43" s="21"/>
      <c r="G43" s="30" t="s">
        <v>6</v>
      </c>
      <c r="H43" s="30" t="s">
        <v>6</v>
      </c>
      <c r="I43" s="30"/>
      <c r="J43" s="30"/>
      <c r="K43" s="30"/>
      <c r="L43" s="30"/>
      <c r="M43" s="30" t="s">
        <v>6</v>
      </c>
      <c r="N43" s="21"/>
      <c r="O43" s="21"/>
    </row>
    <row r="44" spans="1:15">
      <c r="A44" s="21" t="s">
        <v>762</v>
      </c>
      <c r="B44" s="21" t="s">
        <v>457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 t="s">
        <v>863</v>
      </c>
    </row>
    <row r="45" spans="1:15">
      <c r="A45" s="21" t="s">
        <v>405</v>
      </c>
      <c r="B45" s="21" t="s">
        <v>406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 t="s">
        <v>863</v>
      </c>
    </row>
    <row r="46" spans="1:15">
      <c r="A46" s="21" t="s">
        <v>763</v>
      </c>
      <c r="B46" s="21" t="s">
        <v>764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 t="s">
        <v>863</v>
      </c>
    </row>
    <row r="47" spans="1:15">
      <c r="A47" s="21" t="s">
        <v>766</v>
      </c>
      <c r="B47" s="21" t="s">
        <v>767</v>
      </c>
      <c r="D47" s="21"/>
      <c r="E47" s="30" t="s">
        <v>6</v>
      </c>
      <c r="F47" s="30" t="s">
        <v>6</v>
      </c>
      <c r="G47" s="21"/>
      <c r="H47" s="21"/>
      <c r="I47" s="30" t="s">
        <v>6</v>
      </c>
      <c r="J47" s="21"/>
      <c r="K47" s="21"/>
      <c r="L47" s="21"/>
      <c r="M47" s="21"/>
      <c r="N47" s="21"/>
      <c r="O47" s="21"/>
    </row>
    <row r="48" spans="1:15">
      <c r="A48" s="21" t="s">
        <v>769</v>
      </c>
      <c r="B48" s="21" t="s">
        <v>770</v>
      </c>
      <c r="D48" s="30" t="s">
        <v>6</v>
      </c>
      <c r="E48" s="30" t="s">
        <v>6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1:15">
      <c r="A49" s="21" t="s">
        <v>772</v>
      </c>
      <c r="B49" s="21" t="s">
        <v>773</v>
      </c>
      <c r="D49" s="21"/>
      <c r="E49" s="30" t="s">
        <v>6</v>
      </c>
      <c r="F49" s="30" t="s">
        <v>6</v>
      </c>
      <c r="G49" s="21"/>
      <c r="H49" s="21"/>
      <c r="I49" s="30" t="s">
        <v>6</v>
      </c>
      <c r="J49" s="21"/>
      <c r="K49" s="21"/>
      <c r="L49" s="21"/>
      <c r="M49" s="21"/>
      <c r="N49" s="21"/>
      <c r="O49" s="21"/>
    </row>
    <row r="50" spans="1:15">
      <c r="A50" s="21" t="s">
        <v>775</v>
      </c>
      <c r="B50" s="21" t="s">
        <v>776</v>
      </c>
      <c r="D50" s="21"/>
      <c r="E50" s="30" t="s">
        <v>6</v>
      </c>
      <c r="F50" s="30"/>
      <c r="G50" s="21"/>
      <c r="H50" s="21"/>
      <c r="I50" s="30"/>
      <c r="J50" s="21"/>
      <c r="K50" s="21"/>
      <c r="L50" s="21"/>
      <c r="M50" s="21"/>
      <c r="N50" s="21"/>
      <c r="O50" s="21"/>
    </row>
    <row r="51" spans="1:15">
      <c r="A51" s="21" t="s">
        <v>778</v>
      </c>
      <c r="B51" s="21" t="s">
        <v>272</v>
      </c>
      <c r="D51" s="30" t="s">
        <v>6</v>
      </c>
      <c r="E51" s="30" t="s">
        <v>6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>
      <c r="A52" s="21" t="s">
        <v>780</v>
      </c>
      <c r="B52" s="21" t="s">
        <v>781</v>
      </c>
      <c r="D52" s="30" t="s">
        <v>6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21" t="s">
        <v>783</v>
      </c>
      <c r="B53" s="21" t="s">
        <v>784</v>
      </c>
      <c r="D53" s="21"/>
      <c r="E53" s="30" t="s">
        <v>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>
      <c r="A54" s="21" t="s">
        <v>786</v>
      </c>
      <c r="B54" s="21" t="s">
        <v>787</v>
      </c>
      <c r="D54" s="21"/>
      <c r="E54" s="30" t="s">
        <v>6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spans="1:15">
      <c r="A55" s="21" t="s">
        <v>789</v>
      </c>
      <c r="B55" s="21" t="s">
        <v>790</v>
      </c>
      <c r="D55" s="21"/>
      <c r="E55" s="30" t="s">
        <v>6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>
      <c r="A56" s="21" t="s">
        <v>792</v>
      </c>
      <c r="B56" s="21" t="s">
        <v>793</v>
      </c>
      <c r="D56" s="21"/>
      <c r="E56" s="30"/>
      <c r="F56" s="21"/>
      <c r="G56" s="21"/>
      <c r="H56" s="21"/>
      <c r="I56" s="21"/>
      <c r="J56" s="21"/>
      <c r="K56" s="21"/>
      <c r="L56" s="21"/>
      <c r="M56" s="21"/>
      <c r="N56" s="21"/>
      <c r="O56" s="21" t="s">
        <v>863</v>
      </c>
    </row>
    <row r="57" spans="1:15">
      <c r="A57" s="21" t="s">
        <v>795</v>
      </c>
      <c r="B57" s="21" t="s">
        <v>796</v>
      </c>
      <c r="D57" s="21"/>
      <c r="E57" s="30" t="s">
        <v>6</v>
      </c>
      <c r="F57" s="30" t="s">
        <v>6</v>
      </c>
      <c r="G57" s="21"/>
      <c r="H57" s="21"/>
      <c r="I57" s="21"/>
      <c r="J57" s="21"/>
      <c r="K57" s="21"/>
      <c r="L57" s="21"/>
      <c r="M57" s="21"/>
      <c r="N57" s="21"/>
      <c r="O57" s="21"/>
    </row>
    <row r="58" spans="1:15">
      <c r="A58" s="21" t="s">
        <v>798</v>
      </c>
      <c r="B58" s="21" t="s">
        <v>799</v>
      </c>
      <c r="D58" s="30" t="s">
        <v>6</v>
      </c>
      <c r="E58" s="30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1:15">
      <c r="A59" s="21" t="s">
        <v>801</v>
      </c>
      <c r="B59" s="21" t="s">
        <v>802</v>
      </c>
      <c r="D59" s="30"/>
      <c r="E59" s="30" t="s">
        <v>6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spans="1:15">
      <c r="A60" s="21" t="s">
        <v>804</v>
      </c>
      <c r="B60" s="21" t="s">
        <v>805</v>
      </c>
      <c r="D60" s="21"/>
      <c r="E60" s="30" t="s">
        <v>6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15">
      <c r="A61" s="21" t="s">
        <v>807</v>
      </c>
      <c r="B61" s="21" t="s">
        <v>808</v>
      </c>
      <c r="D61" s="30" t="s">
        <v>6</v>
      </c>
      <c r="E61" s="30" t="s">
        <v>6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15">
      <c r="A62" s="21" t="s">
        <v>810</v>
      </c>
      <c r="B62" s="21" t="s">
        <v>811</v>
      </c>
      <c r="D62" s="30" t="s">
        <v>6</v>
      </c>
      <c r="E62" s="30" t="s">
        <v>6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>
      <c r="A63" s="21" t="s">
        <v>813</v>
      </c>
      <c r="B63" s="21" t="s">
        <v>814</v>
      </c>
      <c r="D63" s="21"/>
      <c r="E63" s="30" t="s">
        <v>6</v>
      </c>
      <c r="F63" s="21"/>
      <c r="G63" s="21"/>
      <c r="H63" s="21"/>
      <c r="I63" s="21"/>
      <c r="J63" s="21"/>
      <c r="K63" s="21"/>
      <c r="L63" s="21"/>
      <c r="M63" s="21"/>
      <c r="N63" s="30" t="s">
        <v>6</v>
      </c>
      <c r="O63" s="21"/>
    </row>
    <row r="64" spans="1:15">
      <c r="A64" s="21" t="s">
        <v>816</v>
      </c>
      <c r="B64" s="21" t="s">
        <v>817</v>
      </c>
      <c r="D64" s="30" t="s">
        <v>6</v>
      </c>
      <c r="E64" s="30" t="s">
        <v>6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spans="1:15">
      <c r="A65" s="21" t="s">
        <v>819</v>
      </c>
      <c r="B65" s="21" t="s">
        <v>820</v>
      </c>
      <c r="D65" s="30" t="s">
        <v>6</v>
      </c>
      <c r="E65" s="30" t="s">
        <v>6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 spans="1:15">
      <c r="A66" s="21" t="s">
        <v>822</v>
      </c>
      <c r="B66" s="21" t="s">
        <v>823</v>
      </c>
      <c r="D66" s="21"/>
      <c r="E66" s="21"/>
      <c r="F66" s="30" t="s">
        <v>6</v>
      </c>
      <c r="G66" s="21"/>
      <c r="H66" s="21"/>
      <c r="I66" s="21"/>
      <c r="J66" s="21"/>
      <c r="K66" s="30" t="s">
        <v>6</v>
      </c>
      <c r="L66" s="21"/>
      <c r="M66" s="21"/>
      <c r="N66" s="21"/>
      <c r="O66" s="21"/>
    </row>
    <row r="67" spans="1:15">
      <c r="A67" s="21" t="s">
        <v>825</v>
      </c>
      <c r="B67" s="21" t="s">
        <v>826</v>
      </c>
      <c r="D67" s="21"/>
      <c r="E67" s="21"/>
      <c r="F67" s="21"/>
      <c r="G67" s="21"/>
      <c r="H67" s="21"/>
      <c r="I67" s="21"/>
      <c r="J67" s="21"/>
      <c r="K67" s="30"/>
      <c r="L67" s="30"/>
      <c r="M67" s="30"/>
      <c r="N67" s="30" t="s">
        <v>6</v>
      </c>
      <c r="O67" s="21"/>
    </row>
    <row r="68" spans="1:15">
      <c r="A68" s="21" t="s">
        <v>828</v>
      </c>
      <c r="B68" s="21" t="s">
        <v>829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 t="s">
        <v>863</v>
      </c>
    </row>
    <row r="69" spans="1:15">
      <c r="A69" s="21" t="s">
        <v>831</v>
      </c>
      <c r="B69" s="21" t="s">
        <v>832</v>
      </c>
      <c r="D69" s="21"/>
      <c r="E69" s="21"/>
      <c r="F69" s="30" t="s">
        <v>6</v>
      </c>
      <c r="G69" s="21"/>
      <c r="H69" s="21"/>
      <c r="I69" s="21"/>
      <c r="J69" s="21"/>
      <c r="K69" s="21"/>
      <c r="L69" s="21"/>
      <c r="M69" s="21"/>
      <c r="N69" s="21"/>
      <c r="O69" s="21"/>
    </row>
    <row r="70" spans="1:15">
      <c r="A70" s="21" t="s">
        <v>834</v>
      </c>
      <c r="B70" s="21" t="s">
        <v>835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30" t="s">
        <v>6</v>
      </c>
      <c r="O70" s="21"/>
    </row>
    <row r="75" spans="1:15" ht="15.75">
      <c r="A75" s="52" t="s">
        <v>864</v>
      </c>
      <c r="B75" s="53" t="s">
        <v>1</v>
      </c>
      <c r="C75" s="53" t="s">
        <v>839</v>
      </c>
      <c r="D75" s="53" t="s">
        <v>2</v>
      </c>
      <c r="E75" s="53">
        <v>3401</v>
      </c>
      <c r="F75" s="53">
        <v>3402</v>
      </c>
      <c r="G75" s="53">
        <v>3403</v>
      </c>
      <c r="H75" s="53">
        <v>3404</v>
      </c>
      <c r="I75" s="53">
        <v>3405</v>
      </c>
      <c r="J75" s="53">
        <v>3406</v>
      </c>
      <c r="K75" s="53">
        <v>3407</v>
      </c>
      <c r="L75" s="53">
        <v>3408</v>
      </c>
      <c r="M75" s="53">
        <v>3409</v>
      </c>
      <c r="N75" s="53">
        <v>3410</v>
      </c>
      <c r="O75" s="53">
        <v>3411</v>
      </c>
    </row>
    <row r="76" spans="1:15" ht="61.5">
      <c r="A76" s="54" t="s">
        <v>635</v>
      </c>
      <c r="B76" s="55" t="s">
        <v>855</v>
      </c>
      <c r="C76" s="55">
        <v>18</v>
      </c>
      <c r="D76" s="55" t="s">
        <v>637</v>
      </c>
      <c r="E76" s="55" t="s">
        <v>839</v>
      </c>
      <c r="F76" s="55" t="s">
        <v>6</v>
      </c>
      <c r="G76" s="55" t="s">
        <v>839</v>
      </c>
      <c r="H76" s="55" t="s">
        <v>839</v>
      </c>
      <c r="I76" s="55" t="s">
        <v>839</v>
      </c>
      <c r="J76" s="55" t="s">
        <v>839</v>
      </c>
      <c r="K76" s="55" t="s">
        <v>839</v>
      </c>
      <c r="L76" s="55" t="s">
        <v>839</v>
      </c>
      <c r="M76" s="55" t="s">
        <v>6</v>
      </c>
      <c r="N76" s="55" t="s">
        <v>839</v>
      </c>
      <c r="O76" s="55" t="s">
        <v>839</v>
      </c>
    </row>
    <row r="77" spans="1:15" ht="15.75">
      <c r="A77" s="56" t="s">
        <v>839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ht="15.75">
      <c r="A78" s="56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ht="15.75">
      <c r="A79" s="56" t="s">
        <v>839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ht="15.75">
      <c r="A80" s="57" t="s">
        <v>0</v>
      </c>
      <c r="B80" s="53" t="s">
        <v>1</v>
      </c>
      <c r="C80" s="53" t="s">
        <v>839</v>
      </c>
      <c r="D80" s="53" t="s">
        <v>2</v>
      </c>
      <c r="E80" s="53">
        <v>3401</v>
      </c>
      <c r="F80" s="53">
        <v>3402</v>
      </c>
      <c r="G80" s="53">
        <v>3403</v>
      </c>
      <c r="H80" s="53">
        <v>3404</v>
      </c>
      <c r="I80" s="53">
        <v>3405</v>
      </c>
      <c r="J80" s="53">
        <v>3406</v>
      </c>
      <c r="K80" s="53">
        <v>3407</v>
      </c>
      <c r="L80" s="53">
        <v>3408</v>
      </c>
      <c r="M80" s="53">
        <v>3409</v>
      </c>
      <c r="N80" s="53">
        <v>3410</v>
      </c>
      <c r="O80" s="53">
        <v>3411</v>
      </c>
    </row>
    <row r="81" spans="1:15" ht="30.75">
      <c r="A81" s="58" t="s">
        <v>837</v>
      </c>
      <c r="B81" s="59" t="s">
        <v>173</v>
      </c>
      <c r="C81" s="59">
        <v>18</v>
      </c>
      <c r="D81" s="60" t="s">
        <v>838</v>
      </c>
      <c r="E81" s="54" t="s">
        <v>6</v>
      </c>
      <c r="F81" s="55" t="s">
        <v>6</v>
      </c>
      <c r="G81" s="61" t="s">
        <v>839</v>
      </c>
      <c r="H81" s="61" t="s">
        <v>839</v>
      </c>
      <c r="I81" s="61" t="s">
        <v>839</v>
      </c>
      <c r="J81" s="61" t="s">
        <v>839</v>
      </c>
      <c r="K81" s="61" t="s">
        <v>839</v>
      </c>
      <c r="L81" s="61" t="s">
        <v>839</v>
      </c>
      <c r="M81" s="55" t="s">
        <v>6</v>
      </c>
      <c r="N81" s="61" t="s">
        <v>839</v>
      </c>
      <c r="O81" s="55" t="s">
        <v>6</v>
      </c>
    </row>
    <row r="82" spans="1:15" ht="46.5">
      <c r="A82" s="58" t="s">
        <v>840</v>
      </c>
      <c r="B82" s="59" t="s">
        <v>576</v>
      </c>
      <c r="C82" s="59">
        <v>13</v>
      </c>
      <c r="D82" s="60" t="s">
        <v>841</v>
      </c>
      <c r="E82" s="62" t="s">
        <v>839</v>
      </c>
      <c r="F82" s="61" t="s">
        <v>839</v>
      </c>
      <c r="G82" s="61" t="s">
        <v>839</v>
      </c>
      <c r="H82" s="61" t="s">
        <v>839</v>
      </c>
      <c r="I82" s="61" t="s">
        <v>839</v>
      </c>
      <c r="J82" s="61" t="s">
        <v>839</v>
      </c>
      <c r="K82" s="55" t="s">
        <v>6</v>
      </c>
      <c r="L82" s="61" t="s">
        <v>839</v>
      </c>
      <c r="M82" s="61" t="s">
        <v>839</v>
      </c>
      <c r="N82" s="55" t="s">
        <v>6</v>
      </c>
      <c r="O82" s="61" t="s">
        <v>839</v>
      </c>
    </row>
    <row r="83" spans="1:15" ht="30.75">
      <c r="A83" s="58" t="s">
        <v>842</v>
      </c>
      <c r="B83" s="59" t="s">
        <v>146</v>
      </c>
      <c r="C83" s="59">
        <v>17</v>
      </c>
      <c r="D83" s="60" t="s">
        <v>843</v>
      </c>
      <c r="E83" s="62" t="s">
        <v>839</v>
      </c>
      <c r="F83" s="55" t="s">
        <v>6</v>
      </c>
      <c r="G83" s="61" t="s">
        <v>839</v>
      </c>
      <c r="H83" s="61" t="s">
        <v>839</v>
      </c>
      <c r="I83" s="61" t="s">
        <v>839</v>
      </c>
      <c r="J83" s="61" t="s">
        <v>839</v>
      </c>
      <c r="K83" s="61" t="s">
        <v>839</v>
      </c>
      <c r="L83" s="55" t="s">
        <v>6</v>
      </c>
      <c r="M83" s="55" t="s">
        <v>6</v>
      </c>
      <c r="N83" s="61" t="s">
        <v>839</v>
      </c>
      <c r="O83" s="55" t="s">
        <v>6</v>
      </c>
    </row>
    <row r="85" spans="1:15">
      <c r="A85" s="90"/>
      <c r="B85" s="90"/>
    </row>
    <row r="86" spans="1:15" ht="15.75">
      <c r="A86" s="88" t="s">
        <v>50</v>
      </c>
      <c r="B86" s="88">
        <v>3411</v>
      </c>
      <c r="C86" s="89"/>
    </row>
    <row r="87" spans="1:15" ht="15.75">
      <c r="A87" s="88"/>
      <c r="C87" s="89"/>
    </row>
    <row r="88" spans="1:15">
      <c r="C88" s="89"/>
    </row>
    <row r="89" spans="1:15" ht="15.75">
      <c r="A89" s="88" t="s">
        <v>851</v>
      </c>
      <c r="B89" s="88" t="s">
        <v>865</v>
      </c>
      <c r="C89" s="89"/>
    </row>
    <row r="90" spans="1:15" ht="15.75">
      <c r="A90" s="88"/>
      <c r="C90" s="89"/>
    </row>
    <row r="91" spans="1:15">
      <c r="C91" s="89"/>
    </row>
    <row r="92" spans="1:15" ht="15.75">
      <c r="A92" s="88" t="s">
        <v>367</v>
      </c>
      <c r="B92" s="88" t="s">
        <v>865</v>
      </c>
      <c r="C92" s="89"/>
    </row>
    <row r="93" spans="1:15" ht="15.75">
      <c r="A93" s="87"/>
      <c r="B93" s="91"/>
    </row>
  </sheetData>
  <autoFilter ref="A1:O70" xr:uid="{87815E73-FEBB-48CB-A939-2AD7CB7318C5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workbookViewId="0">
      <selection activeCell="E28" sqref="E28"/>
    </sheetView>
  </sheetViews>
  <sheetFormatPr defaultRowHeight="14.45"/>
  <cols>
    <col min="1" max="1" width="21.5703125" bestFit="1" customWidth="1"/>
    <col min="2" max="2" width="20.140625" bestFit="1" customWidth="1"/>
    <col min="3" max="3" width="37" bestFit="1" customWidth="1"/>
    <col min="4" max="14" width="8.140625" customWidth="1"/>
    <col min="15" max="15" width="65.140625" bestFit="1" customWidth="1"/>
    <col min="16" max="17" width="5.85546875" bestFit="1" customWidth="1"/>
    <col min="18" max="18" width="8.28515625" bestFit="1" customWidth="1"/>
    <col min="19" max="19" width="7.28515625" bestFit="1" customWidth="1"/>
    <col min="20" max="20" width="20.5703125" bestFit="1" customWidth="1"/>
  </cols>
  <sheetData>
    <row r="1" spans="1:20" s="51" customFormat="1">
      <c r="A1" s="51" t="s">
        <v>866</v>
      </c>
    </row>
    <row r="2" spans="1:20" s="51" customFormat="1" ht="15" thickBot="1"/>
    <row r="3" spans="1:20" ht="16.149999999999999" thickBot="1">
      <c r="A3" s="46" t="s">
        <v>867</v>
      </c>
      <c r="B3" s="47"/>
      <c r="C3" s="47"/>
      <c r="D3" s="48" t="s">
        <v>868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50" t="s">
        <v>869</v>
      </c>
      <c r="Q3" s="50"/>
      <c r="R3" s="50"/>
      <c r="S3" s="50"/>
      <c r="T3" s="50"/>
    </row>
    <row r="4" spans="1:20">
      <c r="A4" s="1" t="s">
        <v>860</v>
      </c>
      <c r="B4" s="2" t="s">
        <v>1</v>
      </c>
      <c r="C4" s="2" t="s">
        <v>2</v>
      </c>
      <c r="D4" s="2">
        <v>3401</v>
      </c>
      <c r="E4" s="2">
        <v>3402</v>
      </c>
      <c r="F4" s="2">
        <v>3403</v>
      </c>
      <c r="G4" s="2">
        <v>3404</v>
      </c>
      <c r="H4" s="2">
        <v>3405</v>
      </c>
      <c r="I4" s="2">
        <v>3406</v>
      </c>
      <c r="J4" s="2">
        <v>3407</v>
      </c>
      <c r="K4" s="2">
        <v>3408</v>
      </c>
      <c r="L4" s="2">
        <v>3409</v>
      </c>
      <c r="M4" s="2">
        <v>3410</v>
      </c>
      <c r="N4" s="3">
        <v>3411</v>
      </c>
      <c r="O4" s="3" t="s">
        <v>870</v>
      </c>
      <c r="P4" s="4" t="s">
        <v>871</v>
      </c>
      <c r="Q4" s="4" t="s">
        <v>872</v>
      </c>
      <c r="R4" s="4" t="s">
        <v>873</v>
      </c>
      <c r="S4" s="4" t="s">
        <v>874</v>
      </c>
      <c r="T4" s="4" t="s">
        <v>875</v>
      </c>
    </row>
    <row r="5" spans="1:20" ht="15.6">
      <c r="A5" s="5" t="s">
        <v>617</v>
      </c>
      <c r="B5" s="6" t="s">
        <v>618</v>
      </c>
      <c r="C5" s="7" t="s">
        <v>619</v>
      </c>
      <c r="D5" s="16"/>
      <c r="E5" s="16"/>
      <c r="F5" s="16"/>
      <c r="G5" s="16">
        <v>1</v>
      </c>
      <c r="H5" s="16"/>
      <c r="I5" s="16"/>
      <c r="J5" s="16"/>
      <c r="K5" s="16"/>
      <c r="L5" s="16"/>
      <c r="M5" s="16"/>
      <c r="N5" s="16"/>
      <c r="O5" s="9"/>
      <c r="P5" s="10" t="s">
        <v>6</v>
      </c>
      <c r="Q5" s="10" t="s">
        <v>6</v>
      </c>
      <c r="R5" s="10" t="s">
        <v>6</v>
      </c>
      <c r="S5" s="11"/>
      <c r="T5" s="7"/>
    </row>
    <row r="6" spans="1:20" ht="15.6">
      <c r="A6" s="5" t="s">
        <v>629</v>
      </c>
      <c r="B6" s="6" t="s">
        <v>630</v>
      </c>
      <c r="C6" s="7" t="s">
        <v>631</v>
      </c>
      <c r="D6" s="16"/>
      <c r="E6" s="16"/>
      <c r="F6" s="16"/>
      <c r="G6" s="16">
        <v>1</v>
      </c>
      <c r="H6" s="16"/>
      <c r="I6" s="16"/>
      <c r="J6" s="16"/>
      <c r="K6" s="16"/>
      <c r="L6" s="16"/>
      <c r="M6" s="16"/>
      <c r="N6" s="16"/>
      <c r="O6" s="9"/>
      <c r="P6" s="10" t="s">
        <v>6</v>
      </c>
      <c r="Q6" s="10" t="s">
        <v>6</v>
      </c>
      <c r="R6" s="10" t="s">
        <v>6</v>
      </c>
      <c r="S6" s="11"/>
      <c r="T6" s="7"/>
    </row>
    <row r="7" spans="1:20" ht="15.6">
      <c r="A7" s="5" t="s">
        <v>632</v>
      </c>
      <c r="B7" s="6" t="s">
        <v>633</v>
      </c>
      <c r="C7" s="7" t="s">
        <v>634</v>
      </c>
      <c r="D7" s="16"/>
      <c r="E7" s="16"/>
      <c r="F7" s="16"/>
      <c r="G7" s="16">
        <v>1</v>
      </c>
      <c r="H7" s="16"/>
      <c r="I7" s="16"/>
      <c r="J7" s="16"/>
      <c r="K7" s="16"/>
      <c r="L7" s="16"/>
      <c r="M7" s="16"/>
      <c r="N7" s="16"/>
      <c r="O7" s="9"/>
      <c r="P7" s="10" t="s">
        <v>6</v>
      </c>
      <c r="Q7" s="10" t="s">
        <v>6</v>
      </c>
      <c r="R7" s="10" t="s">
        <v>6</v>
      </c>
      <c r="S7" s="11"/>
      <c r="T7" s="7"/>
    </row>
    <row r="8" spans="1:20" ht="15.6">
      <c r="A8" s="5" t="s">
        <v>575</v>
      </c>
      <c r="B8" s="6" t="s">
        <v>576</v>
      </c>
      <c r="C8" s="7" t="s">
        <v>577</v>
      </c>
      <c r="D8" s="16"/>
      <c r="E8" s="16"/>
      <c r="F8" s="16"/>
      <c r="G8" s="16">
        <v>3</v>
      </c>
      <c r="H8" s="16"/>
      <c r="I8" s="16"/>
      <c r="J8" s="16">
        <v>1</v>
      </c>
      <c r="K8" s="16"/>
      <c r="L8" s="16"/>
      <c r="M8" s="16">
        <v>2</v>
      </c>
      <c r="N8" s="16"/>
      <c r="O8" s="9"/>
      <c r="P8" s="10" t="s">
        <v>6</v>
      </c>
      <c r="Q8" s="10" t="s">
        <v>6</v>
      </c>
      <c r="R8" s="10" t="s">
        <v>6</v>
      </c>
      <c r="S8" s="11"/>
      <c r="T8" s="7"/>
    </row>
    <row r="9" spans="1:20" ht="15.6">
      <c r="A9" s="5"/>
      <c r="B9" s="6" t="s">
        <v>567</v>
      </c>
      <c r="C9" s="7" t="s">
        <v>568</v>
      </c>
      <c r="D9" s="16"/>
      <c r="E9" s="16"/>
      <c r="F9" s="16"/>
      <c r="G9" s="16"/>
      <c r="H9" s="16"/>
      <c r="I9" s="16"/>
      <c r="J9" s="16"/>
      <c r="K9" s="16"/>
      <c r="L9" s="16"/>
      <c r="M9" s="16">
        <v>1</v>
      </c>
      <c r="N9" s="16"/>
      <c r="O9" s="15" t="s">
        <v>876</v>
      </c>
      <c r="P9" s="10" t="s">
        <v>6</v>
      </c>
      <c r="Q9" s="10" t="s">
        <v>6</v>
      </c>
      <c r="R9" s="10" t="s">
        <v>6</v>
      </c>
      <c r="S9" s="10" t="s">
        <v>6</v>
      </c>
      <c r="T9" s="7"/>
    </row>
    <row r="10" spans="1:20" ht="15.6">
      <c r="A10" s="5" t="s">
        <v>584</v>
      </c>
      <c r="B10" s="6" t="s">
        <v>585</v>
      </c>
      <c r="C10" s="7" t="s">
        <v>586</v>
      </c>
      <c r="D10" s="16"/>
      <c r="E10" s="16"/>
      <c r="F10" s="16">
        <v>3</v>
      </c>
      <c r="G10" s="16">
        <v>2</v>
      </c>
      <c r="H10" s="16">
        <v>1</v>
      </c>
      <c r="I10" s="16"/>
      <c r="J10" s="16"/>
      <c r="K10" s="16"/>
      <c r="L10" s="16"/>
      <c r="M10" s="16">
        <v>4</v>
      </c>
      <c r="N10" s="16"/>
      <c r="O10" s="15" t="s">
        <v>877</v>
      </c>
      <c r="P10" s="10" t="s">
        <v>6</v>
      </c>
      <c r="Q10" s="11"/>
      <c r="R10" s="10" t="s">
        <v>6</v>
      </c>
      <c r="S10" s="11"/>
      <c r="T10" s="7"/>
    </row>
    <row r="11" spans="1:20" ht="15.6">
      <c r="A11" s="5" t="s">
        <v>545</v>
      </c>
      <c r="B11" s="6" t="s">
        <v>546</v>
      </c>
      <c r="C11" s="7" t="s">
        <v>547</v>
      </c>
      <c r="D11" s="16"/>
      <c r="E11" s="16"/>
      <c r="F11" s="16">
        <v>3</v>
      </c>
      <c r="G11" s="16">
        <v>2</v>
      </c>
      <c r="H11" s="16">
        <v>1</v>
      </c>
      <c r="I11" s="16"/>
      <c r="J11" s="16"/>
      <c r="K11" s="16"/>
      <c r="L11" s="16"/>
      <c r="M11" s="16">
        <v>4</v>
      </c>
      <c r="N11" s="16"/>
      <c r="O11" s="15" t="s">
        <v>877</v>
      </c>
      <c r="P11" s="10" t="s">
        <v>6</v>
      </c>
      <c r="Q11" s="11"/>
      <c r="R11" s="10" t="s">
        <v>6</v>
      </c>
      <c r="S11" s="7"/>
      <c r="T11" s="7"/>
    </row>
    <row r="12" spans="1:20" ht="15.6">
      <c r="A12" s="5" t="s">
        <v>525</v>
      </c>
      <c r="B12" s="6" t="s">
        <v>526</v>
      </c>
      <c r="C12" s="7" t="s">
        <v>527</v>
      </c>
      <c r="D12" s="16"/>
      <c r="E12" s="16"/>
      <c r="F12" s="16"/>
      <c r="G12" s="16"/>
      <c r="H12" s="16"/>
      <c r="I12" s="16">
        <v>1</v>
      </c>
      <c r="J12" s="16"/>
      <c r="K12" s="16">
        <v>2</v>
      </c>
      <c r="L12" s="16"/>
      <c r="M12" s="16">
        <v>3</v>
      </c>
      <c r="N12" s="16"/>
      <c r="O12" s="9"/>
      <c r="P12" s="10" t="s">
        <v>6</v>
      </c>
      <c r="Q12" s="10" t="s">
        <v>6</v>
      </c>
      <c r="R12" s="10" t="s">
        <v>6</v>
      </c>
      <c r="S12" s="7"/>
      <c r="T12" s="7"/>
    </row>
    <row r="13" spans="1:20" ht="15.6">
      <c r="A13" s="5"/>
      <c r="B13" s="6" t="s">
        <v>878</v>
      </c>
      <c r="C13" s="7" t="s">
        <v>374</v>
      </c>
      <c r="D13" s="16"/>
      <c r="E13" s="16"/>
      <c r="F13" s="16">
        <v>2</v>
      </c>
      <c r="G13" s="16"/>
      <c r="H13" s="16"/>
      <c r="I13" s="16"/>
      <c r="J13" s="16"/>
      <c r="K13" s="16">
        <v>1</v>
      </c>
      <c r="L13" s="16"/>
      <c r="M13" s="16"/>
      <c r="N13" s="16"/>
      <c r="O13" s="15" t="s">
        <v>879</v>
      </c>
      <c r="P13" s="10" t="s">
        <v>6</v>
      </c>
      <c r="Q13" s="10"/>
      <c r="R13" s="10" t="s">
        <v>6</v>
      </c>
      <c r="S13" s="7"/>
      <c r="T13" s="7"/>
    </row>
    <row r="14" spans="1:20" ht="15.6">
      <c r="A14" s="5"/>
      <c r="B14" s="6" t="s">
        <v>481</v>
      </c>
      <c r="C14" s="7" t="s">
        <v>482</v>
      </c>
      <c r="D14" s="16"/>
      <c r="E14" s="16"/>
      <c r="F14" s="16">
        <v>1</v>
      </c>
      <c r="G14" s="16"/>
      <c r="H14" s="16">
        <v>2</v>
      </c>
      <c r="I14" s="16"/>
      <c r="J14" s="16"/>
      <c r="K14" s="16"/>
      <c r="L14" s="16"/>
      <c r="M14" s="16"/>
      <c r="N14" s="16"/>
      <c r="O14" s="9"/>
      <c r="P14" s="10"/>
      <c r="Q14" s="11"/>
      <c r="R14" s="10"/>
      <c r="S14" s="11"/>
      <c r="T14" s="7"/>
    </row>
    <row r="15" spans="1:20" ht="15.6">
      <c r="A15" s="5"/>
      <c r="B15" s="6" t="s">
        <v>442</v>
      </c>
      <c r="C15" s="7" t="s">
        <v>443</v>
      </c>
      <c r="D15" s="16"/>
      <c r="E15" s="16"/>
      <c r="F15" s="16"/>
      <c r="G15" s="16"/>
      <c r="H15" s="16"/>
      <c r="I15" s="16">
        <v>1</v>
      </c>
      <c r="J15" s="16"/>
      <c r="K15" s="16"/>
      <c r="L15" s="16"/>
      <c r="M15" s="16"/>
      <c r="N15" s="16"/>
      <c r="O15" s="9"/>
      <c r="P15" s="10"/>
      <c r="Q15" s="11"/>
      <c r="R15" s="10"/>
      <c r="S15" s="11"/>
      <c r="T15" s="7"/>
    </row>
    <row r="16" spans="1:20" ht="15.6">
      <c r="A16" s="5" t="s">
        <v>390</v>
      </c>
      <c r="B16" s="6" t="s">
        <v>391</v>
      </c>
      <c r="C16" s="7" t="s">
        <v>392</v>
      </c>
      <c r="D16" s="16"/>
      <c r="E16" s="16"/>
      <c r="F16" s="16"/>
      <c r="G16" s="16"/>
      <c r="H16" s="16"/>
      <c r="I16" s="16"/>
      <c r="J16" s="16"/>
      <c r="K16" s="16">
        <v>1</v>
      </c>
      <c r="L16" s="16">
        <v>3</v>
      </c>
      <c r="M16" s="16">
        <v>4</v>
      </c>
      <c r="N16" s="16">
        <v>2</v>
      </c>
      <c r="O16" s="9"/>
      <c r="P16" s="10" t="s">
        <v>6</v>
      </c>
      <c r="Q16" s="10" t="s">
        <v>6</v>
      </c>
      <c r="R16" s="10" t="s">
        <v>6</v>
      </c>
      <c r="S16" s="10" t="s">
        <v>6</v>
      </c>
      <c r="T16" s="7"/>
    </row>
    <row r="17" spans="1:20" ht="15.6">
      <c r="A17" s="5" t="s">
        <v>387</v>
      </c>
      <c r="B17" s="6" t="s">
        <v>388</v>
      </c>
      <c r="C17" s="7" t="s">
        <v>389</v>
      </c>
      <c r="D17" s="16"/>
      <c r="E17" s="16"/>
      <c r="F17" s="16"/>
      <c r="G17" s="16"/>
      <c r="H17" s="16"/>
      <c r="I17" s="16"/>
      <c r="J17" s="16"/>
      <c r="K17" s="16">
        <v>1</v>
      </c>
      <c r="L17" s="16">
        <v>3</v>
      </c>
      <c r="M17" s="16"/>
      <c r="N17" s="16">
        <v>2</v>
      </c>
      <c r="O17" s="9"/>
      <c r="P17" s="10" t="s">
        <v>6</v>
      </c>
      <c r="Q17" s="10" t="s">
        <v>6</v>
      </c>
      <c r="R17" s="10" t="s">
        <v>6</v>
      </c>
      <c r="S17" s="10" t="s">
        <v>6</v>
      </c>
      <c r="T17" s="7"/>
    </row>
    <row r="18" spans="1:20" ht="15.6">
      <c r="A18" s="5" t="s">
        <v>357</v>
      </c>
      <c r="B18" s="6" t="s">
        <v>358</v>
      </c>
      <c r="C18" s="7" t="s">
        <v>359</v>
      </c>
      <c r="D18" s="16"/>
      <c r="E18" s="16"/>
      <c r="F18" s="16">
        <v>1</v>
      </c>
      <c r="G18" s="16">
        <v>2</v>
      </c>
      <c r="H18" s="16"/>
      <c r="I18" s="16"/>
      <c r="J18" s="16"/>
      <c r="K18" s="16"/>
      <c r="L18" s="16"/>
      <c r="M18" s="16"/>
      <c r="N18" s="16"/>
      <c r="O18" s="9"/>
      <c r="P18" s="10" t="s">
        <v>6</v>
      </c>
      <c r="Q18" s="11"/>
      <c r="R18" s="10" t="s">
        <v>6</v>
      </c>
      <c r="S18" s="11"/>
      <c r="T18" s="7"/>
    </row>
    <row r="19" spans="1:20" ht="15.6">
      <c r="A19" s="12" t="s">
        <v>635</v>
      </c>
      <c r="B19" s="13" t="s">
        <v>636</v>
      </c>
      <c r="C19" s="8" t="s">
        <v>637</v>
      </c>
      <c r="D19" s="16"/>
      <c r="E19" s="16">
        <v>2</v>
      </c>
      <c r="F19" s="16"/>
      <c r="G19" s="16"/>
      <c r="H19" s="16"/>
      <c r="I19" s="16"/>
      <c r="J19" s="16"/>
      <c r="K19" s="16">
        <v>3</v>
      </c>
      <c r="L19" s="16">
        <v>1</v>
      </c>
      <c r="M19" s="16"/>
      <c r="N19" s="16"/>
      <c r="O19" s="17" t="s">
        <v>880</v>
      </c>
      <c r="P19" s="10" t="s">
        <v>6</v>
      </c>
      <c r="Q19" s="14"/>
      <c r="R19" s="10" t="s">
        <v>6</v>
      </c>
      <c r="S19" s="8"/>
      <c r="T19" s="8"/>
    </row>
    <row r="20" spans="1:20" ht="15.6">
      <c r="A20" s="12"/>
      <c r="B20" s="13" t="s">
        <v>269</v>
      </c>
      <c r="C20" s="7" t="s">
        <v>881</v>
      </c>
      <c r="D20" s="16"/>
      <c r="E20" s="16">
        <v>1</v>
      </c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10"/>
      <c r="Q20" s="14"/>
      <c r="R20" s="10"/>
      <c r="S20" s="8"/>
      <c r="T20" s="8"/>
    </row>
    <row r="21" spans="1:20" ht="15.6">
      <c r="A21" s="5" t="s">
        <v>220</v>
      </c>
      <c r="B21" s="6" t="s">
        <v>221</v>
      </c>
      <c r="C21" s="7" t="s">
        <v>222</v>
      </c>
      <c r="D21" s="16">
        <v>1</v>
      </c>
      <c r="E21" s="16">
        <v>2</v>
      </c>
      <c r="F21" s="16"/>
      <c r="G21" s="16"/>
      <c r="H21" s="16"/>
      <c r="I21" s="16"/>
      <c r="J21" s="16"/>
      <c r="K21" s="16"/>
      <c r="L21" s="16"/>
      <c r="M21" s="16"/>
      <c r="N21" s="16"/>
      <c r="O21" s="9"/>
      <c r="P21" s="10" t="s">
        <v>6</v>
      </c>
      <c r="Q21" s="11"/>
      <c r="R21" s="10" t="s">
        <v>6</v>
      </c>
      <c r="S21" s="11"/>
      <c r="T21" s="7"/>
    </row>
    <row r="22" spans="1:20" ht="15.6">
      <c r="A22" s="5" t="s">
        <v>88</v>
      </c>
      <c r="B22" s="6" t="s">
        <v>89</v>
      </c>
      <c r="C22" s="7" t="s">
        <v>90</v>
      </c>
      <c r="D22" s="16"/>
      <c r="E22" s="16"/>
      <c r="F22" s="16"/>
      <c r="G22" s="16"/>
      <c r="H22" s="16"/>
      <c r="I22" s="16"/>
      <c r="J22" s="16"/>
      <c r="K22" s="16"/>
      <c r="L22" s="16">
        <v>2</v>
      </c>
      <c r="M22" s="16">
        <v>3</v>
      </c>
      <c r="N22" s="16">
        <v>1</v>
      </c>
      <c r="O22" s="7"/>
      <c r="P22" s="10" t="s">
        <v>6</v>
      </c>
      <c r="Q22" s="10" t="s">
        <v>6</v>
      </c>
      <c r="R22" s="10" t="s">
        <v>6</v>
      </c>
      <c r="S22" s="11"/>
      <c r="T22" s="7"/>
    </row>
    <row r="23" spans="1:20" ht="15.6">
      <c r="A23" s="5" t="s">
        <v>127</v>
      </c>
      <c r="B23" s="6" t="s">
        <v>128</v>
      </c>
      <c r="C23" s="7" t="s">
        <v>129</v>
      </c>
      <c r="D23" s="16"/>
      <c r="E23" s="16">
        <v>2</v>
      </c>
      <c r="F23" s="16"/>
      <c r="G23" s="16"/>
      <c r="H23" s="16"/>
      <c r="I23" s="16"/>
      <c r="J23" s="16"/>
      <c r="K23" s="16">
        <v>3</v>
      </c>
      <c r="L23" s="16"/>
      <c r="M23" s="16"/>
      <c r="N23" s="16">
        <v>1</v>
      </c>
      <c r="O23" s="18" t="s">
        <v>882</v>
      </c>
      <c r="P23" s="10" t="s">
        <v>6</v>
      </c>
      <c r="Q23" s="10" t="s">
        <v>6</v>
      </c>
      <c r="R23" s="10" t="s">
        <v>6</v>
      </c>
      <c r="S23" s="11"/>
      <c r="T23" s="7"/>
    </row>
    <row r="24" spans="1:20" ht="15.6">
      <c r="A24" s="5"/>
      <c r="B24" s="6" t="s">
        <v>98</v>
      </c>
      <c r="C24" s="7" t="s">
        <v>99</v>
      </c>
      <c r="D24" s="16"/>
      <c r="E24" s="16"/>
      <c r="F24" s="16"/>
      <c r="G24" s="16"/>
      <c r="H24" s="16"/>
      <c r="I24" s="16"/>
      <c r="J24" s="16"/>
      <c r="K24" s="16"/>
      <c r="L24" s="16">
        <v>1</v>
      </c>
      <c r="M24" s="16"/>
      <c r="N24" s="16"/>
      <c r="O24" s="7"/>
      <c r="P24" s="10"/>
      <c r="Q24" s="10"/>
      <c r="R24" s="10"/>
      <c r="S24" s="11"/>
      <c r="T24" s="7"/>
    </row>
    <row r="25" spans="1:20" ht="15.6">
      <c r="A25" s="5"/>
      <c r="B25" s="6" t="s">
        <v>101</v>
      </c>
      <c r="C25" s="7" t="s">
        <v>102</v>
      </c>
      <c r="D25" s="16"/>
      <c r="E25" s="16"/>
      <c r="F25" s="16"/>
      <c r="G25" s="16"/>
      <c r="H25" s="16"/>
      <c r="I25" s="16"/>
      <c r="J25" s="16"/>
      <c r="K25" s="16"/>
      <c r="L25" s="16">
        <v>1</v>
      </c>
      <c r="M25" s="16"/>
      <c r="N25" s="16"/>
      <c r="O25" s="7"/>
      <c r="P25" s="10"/>
      <c r="Q25" s="10"/>
      <c r="R25" s="10"/>
      <c r="S25" s="11"/>
      <c r="T25" s="7"/>
    </row>
    <row r="26" spans="1:20" ht="15.6">
      <c r="A26" s="5"/>
      <c r="B26" s="6" t="s">
        <v>80</v>
      </c>
      <c r="C26" s="7" t="s">
        <v>81</v>
      </c>
      <c r="D26" s="16"/>
      <c r="E26" s="16"/>
      <c r="F26" s="16"/>
      <c r="G26" s="16"/>
      <c r="H26" s="16"/>
      <c r="I26" s="16"/>
      <c r="J26" s="16"/>
      <c r="K26" s="16"/>
      <c r="L26" s="16">
        <v>1</v>
      </c>
      <c r="M26" s="16"/>
      <c r="N26" s="16"/>
      <c r="O26" s="7"/>
      <c r="P26" s="10"/>
      <c r="Q26" s="10"/>
      <c r="R26" s="10"/>
      <c r="S26" s="11"/>
      <c r="T26" s="7"/>
    </row>
    <row r="27" spans="1:20">
      <c r="A27" s="19"/>
      <c r="B27" s="6" t="s">
        <v>659</v>
      </c>
      <c r="C27" s="7" t="s">
        <v>883</v>
      </c>
      <c r="D27" s="19"/>
      <c r="E27" s="20">
        <v>1</v>
      </c>
      <c r="F27" s="20"/>
      <c r="G27" s="20"/>
      <c r="H27" s="20"/>
      <c r="I27" s="20"/>
      <c r="J27" s="20"/>
      <c r="K27" s="20"/>
      <c r="L27" s="20">
        <v>2</v>
      </c>
      <c r="M27" s="19"/>
      <c r="N27" s="19"/>
      <c r="O27" s="18" t="s">
        <v>884</v>
      </c>
      <c r="P27" s="19"/>
      <c r="Q27" s="19"/>
      <c r="R27" s="19"/>
      <c r="S27" s="19"/>
      <c r="T27" s="19"/>
    </row>
  </sheetData>
  <mergeCells count="4">
    <mergeCell ref="A3:C3"/>
    <mergeCell ref="D3:O3"/>
    <mergeCell ref="P3:T3"/>
    <mergeCell ref="A1:XFD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Klassify>
  <SNO>1</SNO>
  <KDate>2025-03-29 13:52:55</KDate>
  <Classification>INTERNAL</Classification>
  <Subclassification/>
  <HostName>JKTICTPPC-024</HostName>
  <Domain_User>JKTI/26854</Domain_User>
  <IPAdd>192.168.226.44</IPAdd>
  <FilePath>Y:\Ram Kumar G\PCR BUILDIN\TBM MATRIX\Building Matrix 29.3.2025.xlsx</FilePath>
  <KID>6451063AFCED638788531750888840</KID>
  <UniqueName/>
  <Suggested/>
  <Justification/>
  <KlassifyGUID>6e793db6-acda-4c7c-9f7b-908755f085b0</KlassifyGUID>
</Klassify>
</file>

<file path=customXml/itemProps1.xml><?xml version="1.0" encoding="utf-8"?>
<ds:datastoreItem xmlns:ds="http://schemas.openxmlformats.org/officeDocument/2006/customXml" ds:itemID="{AB76997D-66DE-480D-9E40-289C062D618A}"/>
</file>

<file path=customXml/itemProps2.xml><?xml version="1.0" encoding="utf-8"?>
<ds:datastoreItem xmlns:ds="http://schemas.openxmlformats.org/officeDocument/2006/customXml" ds:itemID="{7CA60D83-BC52-4FEA-A1C7-08846AA73CC8}"/>
</file>

<file path=customXml/itemProps3.xml><?xml version="1.0" encoding="utf-8"?>
<ds:datastoreItem xmlns:ds="http://schemas.openxmlformats.org/officeDocument/2006/customXml" ds:itemID="{2CA4E240-8130-4167-8945-3DB61552E99A}"/>
</file>

<file path=customXml/itemProps4.xml><?xml version="1.0" encoding="utf-8"?>
<ds:datastoreItem xmlns:ds="http://schemas.openxmlformats.org/officeDocument/2006/customXml" ds:itemID="{1593D03A-B257-4DE1-ABB7-B298CE1A96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Thirukannan P.</dc:creator>
  <cp:keywords>INTERNAL</cp:keywords>
  <dc:description/>
  <cp:lastModifiedBy>Tanya Joshi</cp:lastModifiedBy>
  <cp:revision/>
  <dcterms:created xsi:type="dcterms:W3CDTF">2024-05-08T08:40:44Z</dcterms:created>
  <dcterms:modified xsi:type="dcterms:W3CDTF">2026-08-06T11:36:21Z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6e793db6-acda-4c7c-9f7b-908755f085b0</vt:lpwstr>
  </property>
  <property fmtid="{D5CDD505-2E9C-101B-9397-08002B2CF9AE}" pid="3" name="Classification">
    <vt:lpwstr>INTERNAL</vt:lpwstr>
  </property>
  <property fmtid="{D5CDD505-2E9C-101B-9397-08002B2CF9AE}" pid="4" name="KID">
    <vt:lpwstr>6451063AFCED638788531750888840</vt:lpwstr>
  </property>
  <property fmtid="{D5CDD505-2E9C-101B-9397-08002B2CF9AE}" pid="5" name="ContentTypeId">
    <vt:lpwstr>0x0101000F2598ACC80DA6469323BF12BDA2E861</vt:lpwstr>
  </property>
</Properties>
</file>