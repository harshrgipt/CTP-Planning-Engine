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1"/>
  </bookViews>
  <sheets>
    <sheet name="Change_set up" sheetId="1" state="hidden" r:id="rId1"/>
    <sheet name="Sheet1" sheetId="8" r:id="rId2"/>
    <sheet name="Sheet2" sheetId="9" r:id="rId3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\0">#REF!</definedName>
    <definedName name="\a">#REF!</definedName>
    <definedName name="\b">#REF!</definedName>
    <definedName name="\d">#REF!</definedName>
    <definedName name="\e">#REF!</definedName>
    <definedName name="\f">#REF!</definedName>
    <definedName name="\m">#REF!</definedName>
    <definedName name="\n">[1]CYCLE2!#REF!</definedName>
    <definedName name="\P">#REF!</definedName>
    <definedName name="\S">#REF!</definedName>
    <definedName name="\T">#REF!</definedName>
    <definedName name="\x">#REF!</definedName>
    <definedName name="\Z">#REF!</definedName>
    <definedName name="__123Graph_A" hidden="1">#REF!</definedName>
    <definedName name="__123Graph_B" hidden="1">#REF!</definedName>
    <definedName name="__123Graph_C" hidden="1">[2]bbc!$AL$9:$AL$50</definedName>
    <definedName name="__123Graph_D" hidden="1">#REF!</definedName>
    <definedName name="__123Graph_E" hidden="1">[3]biasraw!#REF!</definedName>
    <definedName name="__123Graph_F" hidden="1">#REF!</definedName>
    <definedName name="__123Graph_X" hidden="1">#REF!</definedName>
    <definedName name="__mac1">[4]Plan_Internal!XEY1+[4]Plan_Internal!XEZ1</definedName>
    <definedName name="__mac2">[4]pLAN_ho!$M1+[4]pLAN_ho!$N1</definedName>
    <definedName name="__pdt1">9/100</definedName>
    <definedName name="_1">[5]A!#REF!</definedName>
    <definedName name="_1_123Grap" hidden="1">[6]BB!#REF!</definedName>
    <definedName name="_15_0fo." hidden="1">#REF!</definedName>
    <definedName name="_16_0fo." hidden="1">[7]INDEX!#REF!</definedName>
    <definedName name="_1997_98">#REF!</definedName>
    <definedName name="_1P">#REF!</definedName>
    <definedName name="_2">[5]A!#REF!</definedName>
    <definedName name="_2P">#REF!</definedName>
    <definedName name="_3_0_0__123Grap" hidden="1">#REF!</definedName>
    <definedName name="_3P">#REF!</definedName>
    <definedName name="_40_0_0__123Grap" hidden="1">#REF!</definedName>
    <definedName name="_41_0_0__123Grap" hidden="1">[6]BB!#REF!</definedName>
    <definedName name="_42_0_0__123Grap" hidden="1">[6]BB!#REF!</definedName>
    <definedName name="_5_0_0__123Grap" hidden="1">[6]BB!#REF!</definedName>
    <definedName name="_5_0fo." hidden="1">#REF!</definedName>
    <definedName name="_6_0_0__123Grap" hidden="1">[6]BB!#REF!</definedName>
    <definedName name="_6fo." hidden="1">#REF!</definedName>
    <definedName name="_81_0fo." hidden="1">#REF!</definedName>
    <definedName name="_82_0fo." hidden="1">#REF!</definedName>
    <definedName name="_83_0fo." hidden="1">#REF!</definedName>
    <definedName name="_Fill" hidden="1">#REF!</definedName>
    <definedName name="_Key1" hidden="1">#REF!</definedName>
    <definedName name="_Key2" hidden="1">#REF!</definedName>
    <definedName name="_mac1">[4]Plan_Internal!XEY1+[4]Plan_Internal!XEZ1</definedName>
    <definedName name="_mac2">[4]pLAN_ho!$M1+[4]pLAN_ho!$N1</definedName>
    <definedName name="_Order1" hidden="1">255</definedName>
    <definedName name="_Order2" hidden="1">255</definedName>
    <definedName name="_Parse_Out" hidden="1">#REF!</definedName>
    <definedName name="_pdt1">9/100</definedName>
    <definedName name="_Sort" hidden="1">#REF!</definedName>
    <definedName name="A">#REF!</definedName>
    <definedName name="A9013_">#REF!</definedName>
    <definedName name="AA">#REF!</definedName>
    <definedName name="ab">#REF!</definedName>
    <definedName name="AD">#REF!</definedName>
    <definedName name="ANGLE">#REF!</definedName>
    <definedName name="ANNEXURE1">#REF!</definedName>
    <definedName name="as">#REF!</definedName>
    <definedName name="ASD">#REF!</definedName>
    <definedName name="ASUMPTION">#REF!</definedName>
    <definedName name="B">#REF!</definedName>
    <definedName name="B101_">#REF!</definedName>
    <definedName name="B102_">#REF!</definedName>
    <definedName name="B103_">#REF!</definedName>
    <definedName name="B109_">#REF!</definedName>
    <definedName name="B127_">#REF!</definedName>
    <definedName name="B143_">#REF!</definedName>
    <definedName name="B147_">#REF!</definedName>
    <definedName name="B159_">#REF!</definedName>
    <definedName name="B170_">#REF!</definedName>
    <definedName name="B190_">#REF!</definedName>
    <definedName name="B54_">#REF!</definedName>
    <definedName name="B55_">#REF!</definedName>
    <definedName name="B62_">#REF!</definedName>
    <definedName name="B89_">#REF!</definedName>
    <definedName name="band2" hidden="1">{#N/A,#N/A,FALSE,"canteen";#N/A,#N/A,FALSE,"Cash_comp.";#N/A,#N/A,FALSE,"Summary"}</definedName>
    <definedName name="BD">0.6</definedName>
    <definedName name="BF">#REF!</definedName>
    <definedName name="BM">#REF!</definedName>
    <definedName name="BP">#REF!</definedName>
    <definedName name="brinrl">27</definedName>
    <definedName name="BuiltIn_Print_Area">#REF!</definedName>
    <definedName name="BuiltIn_Print_Area___0">#REF!</definedName>
    <definedName name="C_">#REF!</definedName>
    <definedName name="C_EXP_96_97">#REF!</definedName>
    <definedName name="C_EXP_97">#REF!</definedName>
    <definedName name="C_EXP_98">#REF!</definedName>
    <definedName name="C_EXP_COUNTRY">#REF!</definedName>
    <definedName name="C_EXP_PRODUCT">#REF!</definedName>
    <definedName name="cae">#REF!</definedName>
    <definedName name="Compd.">#REF!</definedName>
    <definedName name="CONST_TABLE">[8]Reference!$I$3:$I$17</definedName>
    <definedName name="CONT9899">#REF!</definedName>
    <definedName name="CONTROL_CHART">#REF!</definedName>
    <definedName name="COSTSHEET">#REF!</definedName>
    <definedName name="CURPI1">435</definedName>
    <definedName name="CURPI2">435</definedName>
    <definedName name="CURPI3">419</definedName>
    <definedName name="CURPI4">413</definedName>
    <definedName name="D">#REF!</definedName>
    <definedName name="Database">#REF!</definedName>
    <definedName name="DEPRECIATION">#REF!</definedName>
    <definedName name="DIST">#REF!</definedName>
    <definedName name="DPQ">#REF!</definedName>
    <definedName name="E">#REF!</definedName>
    <definedName name="EA">#REF!</definedName>
    <definedName name="enggm">VLOOKUP(TEXT(#REF!,0),#REF!,9,)</definedName>
    <definedName name="enggt">VLOOKUP(TEXT(#REF!,0),#REF!,4,)</definedName>
    <definedName name="ETHYAL">#REF!</definedName>
    <definedName name="EXCISE">#REF!</definedName>
    <definedName name="EXP97HO">#REF!</definedName>
    <definedName name="EXPCOUNT96">#REF!</definedName>
    <definedName name="EXPROD96_97">#REF!</definedName>
    <definedName name="F">#REF!</definedName>
    <definedName name="FA">#REF!</definedName>
    <definedName name="FABWID">54*2.54/100</definedName>
    <definedName name="FABWIDTH">56*2.54/100</definedName>
    <definedName name="FAEXP">#REF!</definedName>
    <definedName name="FAPL">#REF!</definedName>
    <definedName name="FD">#REF!</definedName>
    <definedName name="fo.xls" hidden="1">#REF!</definedName>
    <definedName name="FS">#REF!</definedName>
    <definedName name="FS_CF">2</definedName>
    <definedName name="FS_RL">50</definedName>
    <definedName name="G">#REF!</definedName>
    <definedName name="GGG">#REF!</definedName>
    <definedName name="H">#REF!</definedName>
    <definedName name="HEXA">#REF!</definedName>
    <definedName name="HTML_CodePage" hidden="1">1252</definedName>
    <definedName name="HTML_Control" hidden="1">{"'Sheet1'!$A$1:$H$30"}</definedName>
    <definedName name="HTML_Description" hidden="1">""</definedName>
    <definedName name="HTML_Email" hidden="1">"techrtp@vikrant.com"</definedName>
    <definedName name="HTML_Header" hidden="1">"TCRPRS-09 / ISSUE NO-33"</definedName>
    <definedName name="HTML_LastUpdate" hidden="1">"29/8/02"</definedName>
    <definedName name="HTML_LineAfter" hidden="1">FALSE</definedName>
    <definedName name="HTML_LineBefore" hidden="1">FALSE</definedName>
    <definedName name="HTML_Name" hidden="1">"RTP"</definedName>
    <definedName name="HTML_OBDlg2" hidden="1">TRUE</definedName>
    <definedName name="HTML_OBDlg4" hidden="1">TRUE</definedName>
    <definedName name="HTML_OS" hidden="1">0</definedName>
    <definedName name="HTML_PathFile" hidden="1">"C:\My Documents\UPDATE ON TYRE WEIGHTS"</definedName>
    <definedName name="HTML_Title" hidden="1">"UPDATE ON RADIAL TYRE WEIGHTS"</definedName>
    <definedName name="I">[1]Dip_4roll!#REF!</definedName>
    <definedName name="J">#REF!</definedName>
    <definedName name="jan">#REF!</definedName>
    <definedName name="jjjjj">#REF!</definedName>
    <definedName name="K">#REF!</definedName>
    <definedName name="kjj" hidden="1">#REF!</definedName>
    <definedName name="kk" hidden="1">[2]bbc!$AL$9:$AL$50</definedName>
    <definedName name="kl" hidden="1">#REF!</definedName>
    <definedName name="ktp" hidden="1">{#N/A,#N/A,FALSE,"canteen";#N/A,#N/A,FALSE,"Cash_comp.";#N/A,#N/A,FALSE,"Summary"}</definedName>
    <definedName name="L">[9]othman!#REF!</definedName>
    <definedName name="lo">[10]othman!#REF!</definedName>
    <definedName name="M">[1]CYCLE1!#REF!</definedName>
    <definedName name="MENU">#REF!</definedName>
    <definedName name="MISC.EXPENSES">#REF!</definedName>
    <definedName name="NEW">#REF!</definedName>
    <definedName name="nn">#REF!</definedName>
    <definedName name="NOTES">#REF!</definedName>
    <definedName name="oo" hidden="1">[11]INDEX!#REF!</definedName>
    <definedName name="ooo" hidden="1">[11]INDEX!#REF!</definedName>
    <definedName name="othm">VLOOKUP(TEXT(#REF!,0),#REF!,11,)</definedName>
    <definedName name="otht">VLOOKUP(TEXT(#REF!,0),#REF!,6,)</definedName>
    <definedName name="PAGE_NO_4">#REF!</definedName>
    <definedName name="PCHDT">1.48/100</definedName>
    <definedName name="pdt">0.075</definedName>
    <definedName name="PFUEL">#REF!</definedName>
    <definedName name="PLSUM">#REF!</definedName>
    <definedName name="PM">0.4</definedName>
    <definedName name="POWER_FUEL">#REF!</definedName>
    <definedName name="PP">#REF!</definedName>
    <definedName name="_xlnm.Print_Area" localSheetId="0">'Change_set up'!$A$1:$G$87</definedName>
    <definedName name="_xlnm.Print_Area">#REF!</definedName>
    <definedName name="PRINT_AREA_MI">#REF!</definedName>
    <definedName name="_xlnm.Print_Titles" localSheetId="0">'Change_set up'!$1:$3</definedName>
    <definedName name="_xlnm.Print_Titles">#REF!</definedName>
    <definedName name="PROD">[12]ALCO!#REF!</definedName>
    <definedName name="PROD9899">#REF!</definedName>
    <definedName name="prodm">VLOOKUP(TEXT(#REF!,0),#REF!,7,)</definedName>
    <definedName name="prodm1">VLOOKUP(TEXT(#REF!,0),#REF!,13,)</definedName>
    <definedName name="PRODSALES">#REF!</definedName>
    <definedName name="PRODT">VLOOKUP(TEXT(#REF!,0),#REF!,2,)</definedName>
    <definedName name="PRODT1">VLOOKUP(TEXT(#REF!,0),#REF!,12,)</definedName>
    <definedName name="pur" hidden="1">{#N/A,#N/A,FALSE,"canteen";#N/A,#N/A,FALSE,"Cash_comp.";#N/A,#N/A,FALSE,"Summary"}</definedName>
    <definedName name="Q">#REF!</definedName>
    <definedName name="RAWMATERIALS">#REF!</definedName>
    <definedName name="RCOMP">#REF!+#REF!</definedName>
    <definedName name="RCOMPVA">#REF!+#REF!</definedName>
    <definedName name="REPAIRS">#REF!</definedName>
    <definedName name="rmLOAD">{27,34,39}</definedName>
    <definedName name="roll3_ln">42/44*70</definedName>
    <definedName name="s">#REF!</definedName>
    <definedName name="SALARY_WAGES">#REF!</definedName>
    <definedName name="SALES_INCOME">#REF!</definedName>
    <definedName name="setuom">VLOOKUP(TEXT(#REF!,0),#REF!,10,)</definedName>
    <definedName name="setupt">VLOOKUP(TEXT(#REF!,0),#REF!,5,)</definedName>
    <definedName name="Sft">480</definedName>
    <definedName name="shift">VLOOKUP(TEXT(#REF!,0),#REF!,3,)</definedName>
    <definedName name="shiftm">VLOOKUP(TEXT(#REF!,0),#REF!,8,)</definedName>
    <definedName name="Start18">#REF!</definedName>
    <definedName name="Start20">#REF!</definedName>
    <definedName name="Start21">#REF!</definedName>
    <definedName name="Start22">#REF!</definedName>
    <definedName name="STORESCONSUMPTI">#REF!</definedName>
    <definedName name="SUMCON">#REF!</definedName>
    <definedName name="tt">#REF!</definedName>
    <definedName name="tubetime">450</definedName>
    <definedName name="tyre">480</definedName>
    <definedName name="u7g7">#REF!</definedName>
    <definedName name="vaithi">#REF!</definedName>
    <definedName name="VARAA">#REF!</definedName>
    <definedName name="VARAD">#REF!</definedName>
    <definedName name="VARBF">#REF!</definedName>
    <definedName name="VARBP">#REF!</definedName>
    <definedName name="VARDIST">#REF!</definedName>
    <definedName name="VAREA">#REF!</definedName>
    <definedName name="VARFA">#REF!</definedName>
    <definedName name="VARFAA">#REF!</definedName>
    <definedName name="VARFD">#REF!</definedName>
    <definedName name="VARHEXA">#REF!</definedName>
    <definedName name="VARPENTA">#REF!</definedName>
    <definedName name="VARSUM">#REF!</definedName>
    <definedName name="VARWIND">#REF!</definedName>
    <definedName name="W">#REF!</definedName>
    <definedName name="wday">31</definedName>
    <definedName name="wdays">23</definedName>
    <definedName name="WIND">#REF!</definedName>
    <definedName name="WRK">1462</definedName>
    <definedName name="wrn.Canteen." hidden="1">{#N/A,#N/A,FALSE,"canteen";#N/A,#N/A,FALSE,"Cash_comp.";#N/A,#N/A,FALSE,"Summary"}</definedName>
    <definedName name="x">#REF!</definedName>
    <definedName name="XXX">[13]CBR!$A$1:$P$75</definedName>
    <definedName name="Y">#REF!</definedName>
    <definedName name="Year">[14]INPUT!$C$7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<sst xmlns="http://schemas.openxmlformats.org/spreadsheetml/2006/main" count="410" uniqueCount="139">
  <si>
    <t>JK-CTP-IED</t>
  </si>
  <si>
    <t>S.
No</t>
  </si>
  <si>
    <t>Machine</t>
  </si>
  <si>
    <t>Description</t>
  </si>
  <si>
    <t>UOM</t>
  </si>
  <si>
    <t>Time /change</t>
  </si>
  <si>
    <t>-Ve</t>
  </si>
  <si>
    <t>No Change</t>
  </si>
  <si>
    <t>Mixing</t>
  </si>
  <si>
    <t>Final Mixer</t>
  </si>
  <si>
    <t>1) Compound Changeover</t>
  </si>
  <si>
    <t>Sec</t>
  </si>
  <si>
    <t>-</t>
  </si>
  <si>
    <t>Master  Mixer</t>
  </si>
  <si>
    <t>Calendar, Cutters &amp; Slitters</t>
  </si>
  <si>
    <t>4 Roll Calendar</t>
  </si>
  <si>
    <t>1) Steel to Steel Changeover</t>
  </si>
  <si>
    <t>Mins</t>
  </si>
  <si>
    <t>2) Fabric to Steel Changeover</t>
  </si>
  <si>
    <t>PCR - Roller Head Calendar</t>
  </si>
  <si>
    <t>1) Line Compound Changeover</t>
  </si>
  <si>
    <t>EBR</t>
  </si>
  <si>
    <t>1) Let off Cassette Changeover</t>
  </si>
  <si>
    <t>Belt Cutter # 2</t>
  </si>
  <si>
    <t>1)Belt Cutter # 2 - Setup &amp; Adjustment</t>
  </si>
  <si>
    <t>PCR - Cap Strip Slitter # 2</t>
  </si>
  <si>
    <t>1) Let off Changeover time</t>
  </si>
  <si>
    <t>PCR - Cap Ply Cutter</t>
  </si>
  <si>
    <t>1) Edge Gum to Edge gum (Same Width) Changeover time</t>
  </si>
  <si>
    <t xml:space="preserve">gum  width change from 350mm to 740mm </t>
  </si>
  <si>
    <t>2) Edge Gum to Edge gum (Different Width) Changeover time</t>
  </si>
  <si>
    <t xml:space="preserve">Gum width change from 350mm to 740mm </t>
  </si>
  <si>
    <t>3) Edge Gum to Cap-ply Changeover time</t>
  </si>
  <si>
    <t>4) Cap-ply to Cap-ply Changeover time</t>
  </si>
  <si>
    <t>TBR - Body Ply Cutter</t>
  </si>
  <si>
    <t>1) Setup &amp; Roll Change Time</t>
  </si>
  <si>
    <t>TBR - Roller Head Calendar</t>
  </si>
  <si>
    <t>1) Sleeve Changeover (Edge Gum to IL)</t>
  </si>
  <si>
    <t>2) Inner Liner to Squeege Changeover</t>
  </si>
  <si>
    <t>3) Squeege to Inner Liner Changeover</t>
  </si>
  <si>
    <t>Extruder</t>
  </si>
  <si>
    <t xml:space="preserve">Quintoplex Extruder </t>
  </si>
  <si>
    <t>1) Cushion Compound Changeover</t>
  </si>
  <si>
    <t>BEF Extruder</t>
  </si>
  <si>
    <t>1) Total Startup time</t>
  </si>
  <si>
    <t>Duplex Extruder</t>
  </si>
  <si>
    <t>1) Compound Changeover (With Barrel Push out)</t>
  </si>
  <si>
    <t>1) Compound Changeover (Without Barrel Push out)</t>
  </si>
  <si>
    <t>Quadraplex Extruder</t>
  </si>
  <si>
    <t>1) Die Changeover</t>
  </si>
  <si>
    <t>2) Die &amp; Preformer Changeover</t>
  </si>
  <si>
    <t xml:space="preserve">3) Sidewall to Sidewall Changeover </t>
  </si>
  <si>
    <t>4)Sidewall to Shoulderpad Changeover</t>
  </si>
  <si>
    <t>5)Shoulderpad to Sidewall Changeover</t>
  </si>
  <si>
    <t>PCR Stock</t>
  </si>
  <si>
    <t>Bead Winding - Allwell</t>
  </si>
  <si>
    <t>1) Former Wheel Change</t>
  </si>
  <si>
    <t>2) Spool Change</t>
  </si>
  <si>
    <t>3) 3*6 Spools to 4*5 Spools &amp; Die Change</t>
  </si>
  <si>
    <t>4) 4*4 Spools to 4*5 Spools &amp; Die Change</t>
  </si>
  <si>
    <t>TBR Stock</t>
  </si>
  <si>
    <t>Super Assembly</t>
  </si>
  <si>
    <t>1) Loading &amp; Unloading Time per PA Cassette</t>
  </si>
  <si>
    <t>TDA</t>
  </si>
  <si>
    <t>Cycle Time Per Bead Apex - 20 Inches</t>
  </si>
  <si>
    <t>sec</t>
  </si>
  <si>
    <t>Cycle Time Per Bead Apex - 22.5 Inches</t>
  </si>
  <si>
    <t>PCR Building</t>
  </si>
  <si>
    <t>PCR Building -  Cycle Time with Allowance</t>
  </si>
  <si>
    <t>195/65R15_UX ROYALE_91H TL TST</t>
  </si>
  <si>
    <t>215/60 R17_UX ROYALE_96 H TL</t>
  </si>
  <si>
    <t>2) Allowance</t>
  </si>
  <si>
    <t>%</t>
  </si>
  <si>
    <t>PCR Building Changeover - Conti</t>
  </si>
  <si>
    <t>1) Within Inch- Only Material Change over</t>
  </si>
  <si>
    <t>TBR Building -Changeover</t>
  </si>
  <si>
    <t>1) Setup Change with 2 Materials</t>
  </si>
  <si>
    <t>P</t>
  </si>
  <si>
    <t>624 minutes</t>
  </si>
  <si>
    <t>208 Tyres</t>
  </si>
  <si>
    <t>2) Setup Change with Circumference Change upto 4 Materials</t>
  </si>
  <si>
    <t>3)Setup Change with more than 4 Materials for same sizes</t>
  </si>
  <si>
    <t>3) Size Change (One size to another size)</t>
  </si>
  <si>
    <t>552 minutes</t>
  </si>
  <si>
    <t>184 Tyres</t>
  </si>
  <si>
    <t>PCR Curing</t>
  </si>
  <si>
    <t>Loading+ Unloading Time</t>
  </si>
  <si>
    <t>Loading+ Unloading Time - 36"Press</t>
  </si>
  <si>
    <t>Loading+ Unloading Time - 45"Press</t>
  </si>
  <si>
    <t>Loading+ Unloading Time - 46"Press</t>
  </si>
  <si>
    <t>Loading+ Unloading Time - 48"Press</t>
  </si>
  <si>
    <t>TBR Building</t>
  </si>
  <si>
    <t>TBR Building -  Cycle Time with Allowance</t>
  </si>
  <si>
    <t>1) Cycle Time</t>
  </si>
  <si>
    <t>TBR Curing</t>
  </si>
  <si>
    <t>Loading+ Unloading Time - L &amp; T</t>
  </si>
  <si>
    <t>1) Loading+ Unloading Time - L &amp; T Press</t>
  </si>
  <si>
    <t>PCR QA</t>
  </si>
  <si>
    <t>PCR QA - Setup Change</t>
  </si>
  <si>
    <t>1) Setup Change (R12 - R16 inch)</t>
  </si>
  <si>
    <t>2) Setup Change (R17 - R20 inch)</t>
  </si>
  <si>
    <t>TBR QA</t>
  </si>
  <si>
    <t>TBR QA - X-Ray</t>
  </si>
  <si>
    <t>1) X-ray Coin Calibration Verification - Image Reference</t>
  </si>
  <si>
    <t>2)1-X-ray coupled with 2-Runout &amp; Imbalance Machines</t>
  </si>
  <si>
    <t xml:space="preserve">3) X-ray Coin Calibration - Calibration tire &amp; tool preparation (Kit Pre-Assembly) </t>
  </si>
  <si>
    <t>4) X-ray Coin Calibration without Kit Pre-Assembly</t>
  </si>
  <si>
    <t>5) X-ray Coin Calibration with Kit Pre-Assembly</t>
  </si>
  <si>
    <t>6) X-ray Recipe Creation</t>
  </si>
  <si>
    <t>TBR QA - Run Out</t>
  </si>
  <si>
    <t>1) Master tyre check (1 X 3)</t>
  </si>
  <si>
    <t>2) Machine gain &amp; tooling Calibration</t>
  </si>
  <si>
    <t>TBR QA - Uniformity</t>
  </si>
  <si>
    <t>TBR QA - Shearography</t>
  </si>
  <si>
    <t>1) Crown Measurement in 3 sectors</t>
  </si>
  <si>
    <t>2) Crown Measurement in 4 sectors</t>
  </si>
  <si>
    <t>3) Bead to Bead Measurement in 4 sectors</t>
  </si>
  <si>
    <t>4) Bead to Bead Measurement in 5 sectors</t>
  </si>
  <si>
    <t>5) Bead to Bead Measurement in 6 sectors</t>
  </si>
  <si>
    <t>TBR QA - Second Line Visual Inspection</t>
  </si>
  <si>
    <t>1) Lot Inspection</t>
  </si>
  <si>
    <t>2) Ture to &amp; Fro movement from Lot sampling storage area &amp; IIOT adherence</t>
  </si>
  <si>
    <t>TBR QA - Outsourced Product - Tube Inspection</t>
  </si>
  <si>
    <t>1) Tube Inspection</t>
  </si>
  <si>
    <t>TBR QA - Outsourced Product - Flap Inspection</t>
  </si>
  <si>
    <t>1) Flap Inspection</t>
  </si>
  <si>
    <t>TBR QA - Pre Dispatch Inspection</t>
  </si>
  <si>
    <t>1) Pre Despatch Inspection</t>
  </si>
  <si>
    <t>Machine ID</t>
  </si>
  <si>
    <t xml:space="preserve">Platent Dia (Inch) </t>
  </si>
  <si>
    <t xml:space="preserve">Change over Description </t>
  </si>
  <si>
    <t>Mold change over in M</t>
  </si>
  <si>
    <t>12-14 inch (L&amp;T) Press</t>
  </si>
  <si>
    <t>12-16 inch (L&amp;T) Press</t>
  </si>
  <si>
    <t>12-17 inch (HF) Press</t>
  </si>
  <si>
    <t>14-20 inch(Mesnac) Press</t>
  </si>
  <si>
    <t>15-20 inch(Mesnac) Press</t>
  </si>
  <si>
    <t xml:space="preserve">Machine ID </t>
  </si>
  <si>
    <t>Mould change over in 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</si>
</sst>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1"/>
      <color theme="1"/>
      <name val="Calibri"/>
      <charset val="134"/>
      <scheme val="minor"/>
    </font>
    <font>
      <sz val="14"/>
      <color theme="1"/>
      <name val="Arial"/>
      <charset val="134"/>
    </font>
    <font>
      <b/>
      <sz val="12"/>
      <color theme="1"/>
      <name val="Arial"/>
      <charset val="134"/>
    </font>
    <font>
      <b/>
      <u/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b/>
      <sz val="11"/>
      <color theme="1"/>
      <name val="Wingdings 2"/>
      <charset val="2"/>
    </font>
    <font>
      <b/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/>
  </cellStyleXfs>
  <cellXfs count="36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1" fontId="6" fillId="0" borderId="1" xfId="49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8" fillId="0" borderId="0" xfId="49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1" fontId="8" fillId="0" borderId="1" xfId="49" applyNumberFormat="1" applyFont="1" applyBorder="1" applyAlignment="1">
      <alignment horizontal="center" vertical="center" wrapText="1"/>
    </xf>
    <xf numFmtId="0" fontId="4" fillId="0" borderId="1" xfId="0" applyFont="1" applyBorder="1" applyAlignment="1" quotePrefix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0.xml"/><Relationship Id="rId16" Type="http://schemas.openxmlformats.org/officeDocument/2006/relationships/externalLink" Target="externalLinks/externalLink9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SHOK\CAP\PROP\BACKUP\APP11-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56-D09\C\IE\OUR\2000\IE\JSO\TRASH\Book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52-d12\c\IE\BAIJ\ourju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c8\C\MonthlyPlanVTP\PRODUCTION%20PLAN%20JUNE20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SHOK\CAP\PROP\BACKUP\LTA99\BACKUP\KGBL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30.60\common\Users\saba.iram\AppData\Local\Microsoft\Windows\INetCache\Content.Outlook\E8XUMAJF\DAILY%20SUMMARY%20AUG-2012\DAILY%20SUMMARY%20AUG-2012\BB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ktyres\AppData\Local\Microsoft\Windows\Temporary%20Internet%20Files\Content.Outlook\6XWEUM6S\For-KTP-Sep%20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30.60\specification\PCR\01.%20Spec\03.%20Master%20Spec\MASTER%20SPEC%20(Regular).xlsb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52-d12\c\LTA\LTSDP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E\AGR\MD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na\c\user\KKS\for\F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c2\d\A-KVN\TBR%20INFORMATION\3-TBR-14.01.08\Pothal\Hexamine\Hexa-sunset\Kanoria\PENTA%20AT%20AKG%20OFFICE\AD%20Penta%20China\dumping%20application\COST%20WORKING\BALSHEET\Dumping%20final\COST2001MAR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52-d12\c\CAP98\BAS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na\c\user\MATREQT\CAPACITY\MA0001R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ip_4roll"/>
      <sheetName val="CYCLE1"/>
      <sheetName val="CYCLE2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bc"/>
      <sheetName val="bbc"/>
      <sheetName val="bc"/>
      <sheetName val="2rr"/>
      <sheetName val="2rollb"/>
      <sheetName val="sltr"/>
      <sheetName val="brkr"/>
      <sheetName val="WIRE_CUTTR"/>
      <sheetName val="CAM_GUM"/>
      <sheetName val="BANRAW-1"/>
      <sheetName val="ban-1"/>
      <sheetName val="ban-2"/>
      <sheetName val="ASHOK"/>
      <sheetName val="LSR"/>
      <sheetName val="#REF"/>
      <sheetName val="SF "/>
      <sheetName val="OVERALL"/>
      <sheetName val="FEB-2010"/>
      <sheetName val="SUMMARY"/>
      <sheetName val="Tax 2014-15"/>
      <sheetName val="SAN_TO"/>
      <sheetName val="comp"/>
      <sheetName val="75&quot; Press"/>
      <sheetName val="Wh"/>
      <sheetName val="Opinion"/>
      <sheetName val="List of Vendors"/>
      <sheetName val="INDEX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iasraw"/>
      <sheetName val="bbc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ster (2)"/>
      <sheetName val="Master"/>
      <sheetName val="pLAN_ho"/>
      <sheetName val="Plan_Internal"/>
      <sheetName val="Tube req"/>
      <sheetName val="flap req"/>
      <sheetName val="MOULDSCH(TYRE)"/>
      <sheetName val="MOULDSCH (Tub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BB"/>
      <sheetName val="p8"/>
      <sheetName val="FPS"/>
      <sheetName val="A"/>
      <sheetName val="Tracking sheet Daily"/>
      <sheetName val="Plan_Internal"/>
      <sheetName val="pLAN_ho"/>
      <sheetName val="COA-IPCL"/>
      <sheetName val="Data"/>
      <sheetName val="Alloc"/>
      <sheetName val="EQOT"/>
      <sheetName val="welfare"/>
      <sheetName val="Duplex B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INDEX"/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 12"/>
      <sheetName val="Page 13"/>
      <sheetName val="Page 14"/>
      <sheetName val="Page 15"/>
      <sheetName val="Page 16"/>
      <sheetName val="Page 17"/>
      <sheetName val="Page 18"/>
      <sheetName val="Page 19"/>
      <sheetName val="Page 20"/>
      <sheetName val="Page 21"/>
      <sheetName val="Page 22"/>
      <sheetName val="Page 23"/>
      <sheetName val="Page 24"/>
      <sheetName val="Page 25"/>
      <sheetName val="Page 26"/>
      <sheetName val="Page 27"/>
      <sheetName val="Page 28"/>
      <sheetName val="Page 29"/>
      <sheetName val="Page 30"/>
      <sheetName val="Page 31"/>
      <sheetName val="Page 32"/>
      <sheetName val="Page 33"/>
      <sheetName val="Page 34"/>
      <sheetName val="Module2"/>
      <sheetName val="Module3"/>
      <sheetName val="Module1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p.Gr"/>
      <sheetName val="ALL PLANT CAL SPEC"/>
      <sheetName val="Reference"/>
      <sheetName val="SETUP NEW"/>
      <sheetName val="Apex"/>
      <sheetName val="MASTER LIST REGULAR "/>
      <sheetName val="IL "/>
      <sheetName val="PLY"/>
      <sheetName val="Bead"/>
      <sheetName val="BEAD &amp; APEX"/>
      <sheetName val="SIDEWALL"/>
      <sheetName val="BELT"/>
      <sheetName val="TREAD"/>
      <sheetName val="CAP STRIP"/>
      <sheetName val="Filliper"/>
      <sheetName val="Tyre weight"/>
      <sheetName val="MASTER"/>
      <sheetName val="REV .DOC NO"/>
      <sheetName val="Bladder"/>
      <sheetName val="Color ID"/>
      <sheetName val="Tooling Tracking"/>
      <sheetName val="Sheet1"/>
      <sheetName val="Sheet1-old"/>
      <sheetName val="Sheet2"/>
      <sheetName val="MASTER 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BIASREW "/>
      <sheetName val="prop 3a "/>
      <sheetName val="prop 3b"/>
      <sheetName val="prop 3b (2)"/>
      <sheetName val="prop 1a (2)"/>
      <sheetName val="objective"/>
      <sheetName val="changes"/>
      <sheetName val="capbasis"/>
      <sheetName val="capacity"/>
      <sheetName val="eq-cap122"/>
      <sheetName val="eq-cap113"/>
      <sheetName val="package"/>
      <sheetName val="PROP-NORM"/>
      <sheetName val="INT-PLANT"/>
      <sheetName val="SFTREQ"/>
      <sheetName val="CAPEX"/>
      <sheetName val="man-sum"/>
      <sheetName val="MAN-RED"/>
      <sheetName val="cost-ana"/>
      <sheetName val="SC1"/>
      <sheetName val="SC1-ANA"/>
      <sheetName val="SC2"/>
      <sheetName val="sc2-ana"/>
      <sheetName val="SC - III"/>
      <sheetName val="SC-IV"/>
      <sheetName val="SC123"/>
      <sheetName val="RANGE"/>
      <sheetName val="B-SHEET"/>
      <sheetName val="extgearn"/>
      <sheetName val="prdman"/>
      <sheetName val="enngman"/>
      <sheetName val="othman"/>
      <sheetName val="schedule"/>
      <sheetName val="DTIME"/>
      <sheetName val="Canteen"/>
      <sheetName val="Sheet2"/>
      <sheetName val="Sheet3"/>
      <sheetName val="Sheet4"/>
      <sheetName val="KPIS"/>
      <sheetName val="comentarios"/>
      <sheetName val="tabla"/>
      <sheetName val="SIZE 31"/>
      <sheetName val="SIZE 27"/>
      <sheetName val="SIZE 13"/>
      <sheetName val="SIZE 06"/>
      <sheetName val="forecast"/>
      <sheetName val="Plan de accion"/>
      <sheetName val="APT mes"/>
      <sheetName val="APT 1"/>
      <sheetName val="APT 1 (2)"/>
      <sheetName val="APT 1 (3)"/>
      <sheetName val="APT 1 (4)"/>
      <sheetName val="APT 1 (5)"/>
      <sheetName val="tot acu"/>
      <sheetName val="SOPORTE"/>
      <sheetName val="Hoja1"/>
      <sheetName val="carrito"/>
      <sheetName val="Hoja2"/>
      <sheetName val="VS"/>
      <sheetName val="Hoja4"/>
      <sheetName val="Hoja5"/>
      <sheetName val="bbc"/>
      <sheetName val="共機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othman"/>
      <sheetName val="cost sheet-1999-00"/>
      <sheetName val="Ledger"/>
      <sheetName val="K 101-13-18.09.06"/>
      <sheetName val="Data Base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INDEX"/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 12"/>
      <sheetName val="Page 13"/>
      <sheetName val="Page 14"/>
      <sheetName val="Page 15"/>
      <sheetName val="Page 16"/>
      <sheetName val="Page 17"/>
      <sheetName val="Page 18"/>
      <sheetName val="Page 19"/>
      <sheetName val="Page 20"/>
      <sheetName val="Page 21"/>
      <sheetName val="Page 22"/>
      <sheetName val="Page 23"/>
      <sheetName val="Page 24"/>
      <sheetName val="Page 25"/>
      <sheetName val="Page 26"/>
      <sheetName val="Page 27"/>
      <sheetName val="Page 28"/>
      <sheetName val="Page 29"/>
      <sheetName val="Page 30"/>
      <sheetName val="Page 31"/>
      <sheetName val="PAN"/>
      <sheetName val="bdg"/>
      <sheetName val="curn"/>
      <sheetName val="WarS"/>
      <sheetName val="Module2"/>
      <sheetName val="Module3"/>
      <sheetName val="Module1"/>
      <sheetName val="KTP-BTP COMP"/>
      <sheetName val="Overall summary"/>
      <sheetName val="2002-03 BTPtotal"/>
      <sheetName val="Overall summary KTP"/>
      <sheetName val="CR2002-03 KTP "/>
      <sheetName val="CR2003-04 KTP "/>
      <sheetName val="Page 15 (2)"/>
      <sheetName val="Page 32"/>
      <sheetName val="Pla"/>
      <sheetName val="bld"/>
      <sheetName val="cur"/>
      <sheetName val="ware"/>
      <sheetName val="KTP-BTP DOWN"/>
      <sheetName val="Page 6-(i)"/>
      <sheetName val="Page 6-(ii)"/>
      <sheetName val="Page-7-ii"/>
      <sheetName val="Page 33"/>
      <sheetName val="Page 34"/>
      <sheetName val="Plan"/>
      <sheetName val="bldg"/>
      <sheetName val="Warousn"/>
      <sheetName val="plan_pp"/>
      <sheetName val="Page 16 "/>
      <sheetName val="Blg"/>
      <sheetName val="curing"/>
      <sheetName val="othman"/>
      <sheetName val="bb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/>
      <sheetData sheetId="63"/>
      <sheetData sheetId="64"/>
      <sheetData sheetId="65" refreshError="1"/>
      <sheetData sheetId="6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NTR"/>
      <sheetName val="CONSREPO"/>
      <sheetName val="PWS"/>
      <sheetName val="WELFA"/>
      <sheetName val="MECH"/>
      <sheetName val="INST"/>
      <sheetName val="CVL"/>
      <sheetName val="LAB"/>
      <sheetName val="AIR"/>
      <sheetName val="ELEC"/>
      <sheetName val="ETPMOAO"/>
      <sheetName val="ETPMOAO (2)"/>
      <sheetName val="RWATER"/>
      <sheetName val="COOL"/>
      <sheetName val="CHIL"/>
      <sheetName val="DMW"/>
      <sheetName val="POWER"/>
      <sheetName val="STEAM"/>
      <sheetName val="Alcohol"/>
      <sheetName val="CO2 (2)"/>
      <sheetName val="etpbio"/>
      <sheetName val="bio power"/>
      <sheetName val="WIND"/>
      <sheetName val="ED"/>
      <sheetName val="PETECH"/>
      <sheetName val="NITRA"/>
      <sheetName val="DPE"/>
      <sheetName val="SF"/>
      <sheetName val="ALCO"/>
      <sheetName val="FD"/>
      <sheetName val="AD"/>
      <sheetName val="HEX"/>
      <sheetName val="FORMIC"/>
      <sheetName val="SULPHAT"/>
      <sheetName val="FERMT"/>
      <sheetName val="ACETIC"/>
      <sheetName val="DILUTE"/>
      <sheetName val="ETHYL"/>
      <sheetName val="BFR"/>
      <sheetName val="CO2"/>
      <sheetName val="Alco-Sales"/>
      <sheetName val="PROFORMA"/>
      <sheetName val="prof co2"/>
      <sheetName val="RECO"/>
      <sheetName val="OHDISTRI"/>
      <sheetName val="VALUATION"/>
      <sheetName val="CERTIFICATES"/>
      <sheetName val="PRODSALE"/>
      <sheetName val="RATIO"/>
      <sheetName val="synchrnised"/>
      <sheetName val="UTILITY"/>
      <sheetName val="products"/>
      <sheetName val="services"/>
      <sheetName val="F_"/>
      <sheetName val="Module1"/>
      <sheetName val="TEMP"/>
      <sheetName val="Module3"/>
      <sheetName val="Module2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 refreshError="1"/>
      <sheetData sheetId="55"/>
      <sheetData sheetId="56" refreshError="1"/>
      <sheetData sheetId="57" refreshError="1"/>
      <sheetData sheetId="5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BANRAW(1)"/>
      <sheetName val="banbury(1)"/>
      <sheetName val="BANRAW(2)"/>
      <sheetName val="banbury(2)"/>
      <sheetName val="4RDIP-R"/>
      <sheetName val="4RDIP"/>
      <sheetName val="4R-WIRE"/>
      <sheetName val="2ROLL"/>
      <sheetName val="DUAL-R"/>
      <sheetName val="DUAL-B"/>
      <sheetName val="COLD-BR"/>
      <sheetName val="BIAS-R"/>
      <sheetName val="BIAS-B"/>
      <sheetName val="BEAD"/>
      <sheetName val="BLADDER"/>
      <sheetName val="CBR"/>
      <sheetName val="SCUR(A&amp;B)"/>
      <sheetName val="SUMCUR(C)"/>
      <sheetName val="cap_account"/>
      <sheetName val="SUMCUR(D)"/>
      <sheetName val="Module1"/>
      <sheetName val="EQOT"/>
      <sheetName val="oe_mar.04"/>
      <sheetName val="base"/>
      <sheetName val="#REF"/>
      <sheetName val="W-현원가"/>
      <sheetName val="A-100전제"/>
      <sheetName val="시설투자"/>
      <sheetName val="실행준비"/>
      <sheetName val="CIELO발주"/>
      <sheetName val="세부"/>
      <sheetName val="법인+비법인"/>
      <sheetName val="LANOS"/>
      <sheetName val="LEGANZA"/>
      <sheetName val="NUBIRA"/>
      <sheetName val="DB"/>
      <sheetName val="업체현황"/>
      <sheetName val="정철호"/>
      <sheetName val="경조금"/>
      <sheetName val="Revision Record"/>
      <sheetName val="Overview GBP"/>
      <sheetName val="진행 DATA (2)"/>
      <sheetName val="WEIGHT"/>
      <sheetName val="Sensitivity 3 Yrs"/>
      <sheetName val="BRAKE"/>
      <sheetName val="단중표"/>
      <sheetName val="BRAKE미주입"/>
      <sheetName val="DATA"/>
      <sheetName val="Sheet2"/>
      <sheetName val="SIL98"/>
      <sheetName val="실행내역"/>
      <sheetName val="직장코드"/>
      <sheetName val="군산공장추가구매"/>
      <sheetName val="CF"/>
      <sheetName val="손익계산서"/>
      <sheetName val="견적서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Tbom-tot"/>
      <sheetName val="인도원가"/>
      <sheetName val="000000"/>
      <sheetName val="표지"/>
      <sheetName val="세계수요종합OK"/>
      <sheetName val="총품목현황"/>
      <sheetName val="fax양식"/>
      <sheetName val="VC_CR"/>
      <sheetName val="Rate table"/>
      <sheetName val="Work Done"/>
      <sheetName val="BS-DET"/>
      <sheetName val="INPUTMISC"/>
      <sheetName val="Exp_mat"/>
      <sheetName val="ALC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SPECS"/>
      <sheetName val="SUMMARY"/>
      <sheetName val="PLN_TYRE"/>
      <sheetName val="PLN_TUBE"/>
      <sheetName val="PMSUM"/>
      <sheetName val="TUBE_EXT"/>
      <sheetName val="PAINT_JAMM"/>
      <sheetName val="DUAL_MP"/>
      <sheetName val="3_Roll_Sum"/>
      <sheetName val="3_Roll"/>
      <sheetName val="SMBIAS"/>
      <sheetName val="BC"/>
      <sheetName val="FLLR_FLPR"/>
      <sheetName val="FBR_SLT"/>
      <sheetName val="NONTRKBLDG_BIAS"/>
      <sheetName val="TRKBLDG_BIAS"/>
      <sheetName val="SUMCUR"/>
      <sheetName val="TUBE_CUR"/>
      <sheetName val="PASS_CUR"/>
      <sheetName val="TRK_CUR"/>
      <sheetName val="INPUT"/>
      <sheetName val="TYRE_CODE"/>
      <sheetName val="Module1"/>
      <sheetName val="Overall summary"/>
      <sheetName val="internal_vtl"/>
      <sheetName val="status"/>
      <sheetName val="2002-03 BTPtotal"/>
      <sheetName val="CBR"/>
      <sheetName val="DATA"/>
      <sheetName val="Working"/>
      <sheetName val="LED "/>
      <sheetName val="EQOT"/>
      <sheetName val="BS-DET"/>
      <sheetName val="MEDIDAS"/>
      <sheetName val="PROD-704"/>
      <sheetName val="Criterios"/>
      <sheetName val="Cavidades"/>
      <sheetName val="1°T"/>
      <sheetName val="2°T "/>
      <sheetName val="3°T "/>
      <sheetName val="BLADDERS "/>
      <sheetName val="INVENTARIO DE LLANTA"/>
      <sheetName val="Cavidades (2)"/>
      <sheetName val="TQM-Mar-24"/>
      <sheetName val="Graphs-Q2"/>
      <sheetName val="Setti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87"/>
  <sheetViews>
    <sheetView showGridLines="0" zoomScale="85" zoomScaleNormal="85" topLeftCell="A36" workbookViewId="0">
      <selection activeCell="W11" sqref="W11"/>
    </sheetView>
  </sheetViews>
  <sheetFormatPr defaultColWidth="9" defaultRowHeight="14.4"/>
  <cols>
    <col min="1" max="1" width="4" customWidth="1"/>
    <col min="2" max="2" width="16.5555555555556" customWidth="1"/>
    <col min="3" max="3" width="35.5555555555556" customWidth="1"/>
    <col min="4" max="4" width="6.11111111111111" customWidth="1"/>
    <col min="5" max="5" width="13.5555555555556" customWidth="1"/>
    <col min="6" max="6" width="7.11111111111111" hidden="1" customWidth="1"/>
    <col min="7" max="7" width="8.88888888888889" hidden="1" customWidth="1"/>
    <col min="8" max="8" width="23.4444444444444" hidden="1" customWidth="1"/>
    <col min="9" max="15" width="8.88888888888889" hidden="1" customWidth="1"/>
  </cols>
  <sheetData>
    <row r="1" s="3" customFormat="1" ht="18.75" customHeight="1" spans="1:8">
      <c r="A1" s="4" t="s">
        <v>0</v>
      </c>
      <c r="B1" s="5"/>
      <c r="C1" s="5"/>
      <c r="D1" s="5"/>
      <c r="E1" s="5"/>
      <c r="F1" s="5"/>
      <c r="G1" s="5"/>
      <c r="H1" s="6"/>
    </row>
    <row r="2" s="3" customFormat="1" ht="18.75" customHeight="1" spans="1:8">
      <c r="A2" s="7"/>
      <c r="B2" s="8"/>
      <c r="C2" s="8"/>
      <c r="D2" s="8"/>
      <c r="E2" s="8"/>
      <c r="F2" s="8"/>
      <c r="G2" s="8"/>
      <c r="H2" s="9"/>
    </row>
    <row r="3" ht="27.6" spans="1:8">
      <c r="A3" s="10" t="s">
        <v>1</v>
      </c>
      <c r="B3" s="11" t="s">
        <v>2</v>
      </c>
      <c r="C3" s="11" t="s">
        <v>3</v>
      </c>
      <c r="D3" s="10" t="s">
        <v>4</v>
      </c>
      <c r="E3" s="10" t="s">
        <v>5</v>
      </c>
      <c r="F3" s="36" t="s">
        <v>6</v>
      </c>
      <c r="G3" s="10" t="s">
        <v>7</v>
      </c>
      <c r="H3" s="12"/>
    </row>
    <row r="4" ht="26.25" customHeight="1" spans="1:8">
      <c r="A4" s="13" t="s">
        <v>8</v>
      </c>
      <c r="B4" s="13"/>
      <c r="C4" s="13"/>
      <c r="D4" s="13"/>
      <c r="E4" s="13"/>
      <c r="F4" s="13"/>
      <c r="G4" s="13"/>
      <c r="H4" s="14"/>
    </row>
    <row r="5" ht="45" customHeight="1" spans="1:8">
      <c r="A5" s="15">
        <v>1</v>
      </c>
      <c r="B5" s="15" t="s">
        <v>9</v>
      </c>
      <c r="C5" s="16" t="s">
        <v>10</v>
      </c>
      <c r="D5" s="15" t="s">
        <v>11</v>
      </c>
      <c r="E5" s="15">
        <v>40</v>
      </c>
      <c r="F5" s="15" t="s">
        <v>12</v>
      </c>
      <c r="G5" s="15" t="s">
        <v>12</v>
      </c>
      <c r="H5" s="17"/>
    </row>
    <row r="6" ht="45" customHeight="1" spans="1:8">
      <c r="A6" s="15">
        <v>2</v>
      </c>
      <c r="B6" s="15" t="s">
        <v>13</v>
      </c>
      <c r="C6" s="16" t="s">
        <v>10</v>
      </c>
      <c r="D6" s="15" t="s">
        <v>11</v>
      </c>
      <c r="E6" s="15">
        <v>60</v>
      </c>
      <c r="F6" s="15" t="s">
        <v>12</v>
      </c>
      <c r="G6" s="15" t="s">
        <v>12</v>
      </c>
      <c r="H6" s="17"/>
    </row>
    <row r="7" spans="1:8">
      <c r="A7" s="13" t="s">
        <v>14</v>
      </c>
      <c r="B7" s="13"/>
      <c r="C7" s="13"/>
      <c r="D7" s="13"/>
      <c r="E7" s="13"/>
      <c r="F7" s="13"/>
      <c r="G7" s="13"/>
      <c r="H7" s="14"/>
    </row>
    <row r="8" hidden="1" spans="1:8">
      <c r="A8" s="15">
        <f>A6+1</f>
        <v>3</v>
      </c>
      <c r="B8" s="15" t="s">
        <v>15</v>
      </c>
      <c r="C8" s="16" t="s">
        <v>16</v>
      </c>
      <c r="D8" s="15" t="s">
        <v>17</v>
      </c>
      <c r="E8" s="15">
        <v>67</v>
      </c>
      <c r="F8" s="15" t="s">
        <v>12</v>
      </c>
      <c r="G8" s="15" t="s">
        <v>12</v>
      </c>
      <c r="H8" s="17"/>
    </row>
    <row r="9" hidden="1" spans="1:8">
      <c r="A9" s="15"/>
      <c r="B9" s="15"/>
      <c r="C9" s="16" t="s">
        <v>18</v>
      </c>
      <c r="D9" s="15" t="s">
        <v>17</v>
      </c>
      <c r="E9" s="15">
        <v>61</v>
      </c>
      <c r="F9" s="15" t="s">
        <v>12</v>
      </c>
      <c r="G9" s="15" t="s">
        <v>12</v>
      </c>
      <c r="H9" s="17"/>
    </row>
    <row r="10" ht="27.6" hidden="1" spans="1:8">
      <c r="A10" s="15">
        <f>A8+1</f>
        <v>4</v>
      </c>
      <c r="B10" s="15" t="s">
        <v>19</v>
      </c>
      <c r="C10" s="16" t="s">
        <v>20</v>
      </c>
      <c r="D10" s="15" t="s">
        <v>17</v>
      </c>
      <c r="E10" s="18">
        <v>24.1</v>
      </c>
      <c r="F10" s="15" t="s">
        <v>12</v>
      </c>
      <c r="G10" s="15" t="s">
        <v>12</v>
      </c>
      <c r="H10" s="17"/>
    </row>
    <row r="11" spans="1:8">
      <c r="A11" s="15">
        <v>3</v>
      </c>
      <c r="B11" s="15" t="s">
        <v>21</v>
      </c>
      <c r="C11" s="16" t="s">
        <v>22</v>
      </c>
      <c r="D11" s="15" t="s">
        <v>17</v>
      </c>
      <c r="E11" s="18">
        <v>2</v>
      </c>
      <c r="F11" s="15" t="s">
        <v>12</v>
      </c>
      <c r="G11" s="15" t="s">
        <v>12</v>
      </c>
      <c r="H11" s="17"/>
    </row>
    <row r="12" spans="1:8">
      <c r="A12" s="15">
        <v>4</v>
      </c>
      <c r="B12" s="15" t="s">
        <v>23</v>
      </c>
      <c r="C12" s="16" t="s">
        <v>24</v>
      </c>
      <c r="D12" s="15" t="s">
        <v>17</v>
      </c>
      <c r="E12" s="18">
        <v>8.5</v>
      </c>
      <c r="F12" s="15"/>
      <c r="G12" s="15"/>
      <c r="H12" s="17"/>
    </row>
    <row r="13" ht="27.6" spans="1:8">
      <c r="A13" s="15">
        <v>5</v>
      </c>
      <c r="B13" s="15" t="s">
        <v>25</v>
      </c>
      <c r="C13" s="16" t="s">
        <v>26</v>
      </c>
      <c r="D13" s="15" t="s">
        <v>17</v>
      </c>
      <c r="E13" s="15">
        <v>1.75</v>
      </c>
      <c r="F13" s="15" t="s">
        <v>12</v>
      </c>
      <c r="G13" s="15" t="s">
        <v>12</v>
      </c>
      <c r="H13" s="17"/>
    </row>
    <row r="14" ht="27.6" spans="1:8">
      <c r="A14" s="15">
        <f>A13+1</f>
        <v>6</v>
      </c>
      <c r="B14" s="15" t="s">
        <v>27</v>
      </c>
      <c r="C14" s="16" t="s">
        <v>28</v>
      </c>
      <c r="D14" s="15" t="s">
        <v>17</v>
      </c>
      <c r="E14" s="18">
        <v>7.75</v>
      </c>
      <c r="F14" s="15" t="s">
        <v>12</v>
      </c>
      <c r="G14" s="15" t="s">
        <v>12</v>
      </c>
      <c r="H14" s="17" t="s">
        <v>29</v>
      </c>
    </row>
    <row r="15" ht="27.6" spans="1:8">
      <c r="A15" s="15"/>
      <c r="B15" s="15"/>
      <c r="C15" s="16" t="s">
        <v>30</v>
      </c>
      <c r="D15" s="15" t="s">
        <v>17</v>
      </c>
      <c r="E15" s="18">
        <v>18</v>
      </c>
      <c r="F15" s="15" t="s">
        <v>12</v>
      </c>
      <c r="G15" s="15" t="s">
        <v>12</v>
      </c>
      <c r="H15" s="17" t="s">
        <v>31</v>
      </c>
    </row>
    <row r="16" ht="27.6" spans="1:8">
      <c r="A16" s="15"/>
      <c r="B16" s="15"/>
      <c r="C16" s="16" t="s">
        <v>32</v>
      </c>
      <c r="D16" s="15" t="s">
        <v>17</v>
      </c>
      <c r="E16" s="18">
        <v>19.28</v>
      </c>
      <c r="F16" s="15" t="s">
        <v>12</v>
      </c>
      <c r="G16" s="15" t="s">
        <v>12</v>
      </c>
      <c r="H16" s="17"/>
    </row>
    <row r="17" spans="1:8">
      <c r="A17" s="15"/>
      <c r="B17" s="15"/>
      <c r="C17" s="16" t="s">
        <v>33</v>
      </c>
      <c r="D17" s="15" t="s">
        <v>17</v>
      </c>
      <c r="E17" s="18">
        <v>19.28</v>
      </c>
      <c r="F17" s="15" t="s">
        <v>12</v>
      </c>
      <c r="G17" s="15" t="s">
        <v>12</v>
      </c>
      <c r="H17" s="17"/>
    </row>
    <row r="18" ht="27.6" hidden="1" spans="1:8">
      <c r="A18" s="15">
        <f>A14+1</f>
        <v>7</v>
      </c>
      <c r="B18" s="15" t="s">
        <v>34</v>
      </c>
      <c r="C18" s="16" t="s">
        <v>35</v>
      </c>
      <c r="D18" s="15" t="s">
        <v>17</v>
      </c>
      <c r="E18" s="18">
        <v>12.5</v>
      </c>
      <c r="F18" s="15" t="s">
        <v>12</v>
      </c>
      <c r="G18" s="15" t="s">
        <v>12</v>
      </c>
      <c r="H18" s="17"/>
    </row>
    <row r="19" ht="27.6" spans="1:8">
      <c r="A19" s="15">
        <v>7</v>
      </c>
      <c r="B19" s="15" t="s">
        <v>36</v>
      </c>
      <c r="C19" s="16" t="s">
        <v>37</v>
      </c>
      <c r="D19" s="15" t="s">
        <v>17</v>
      </c>
      <c r="E19" s="15">
        <v>31.69</v>
      </c>
      <c r="F19" s="15" t="s">
        <v>12</v>
      </c>
      <c r="G19" s="15" t="s">
        <v>12</v>
      </c>
      <c r="H19" s="17"/>
    </row>
    <row r="20" spans="1:8">
      <c r="A20" s="15"/>
      <c r="B20" s="15"/>
      <c r="C20" s="16" t="s">
        <v>38</v>
      </c>
      <c r="D20" s="15" t="s">
        <v>17</v>
      </c>
      <c r="E20" s="18">
        <v>20.5</v>
      </c>
      <c r="F20" s="15" t="s">
        <v>12</v>
      </c>
      <c r="G20" s="15" t="s">
        <v>12</v>
      </c>
      <c r="H20" s="17"/>
    </row>
    <row r="21" spans="1:8">
      <c r="A21" s="15"/>
      <c r="B21" s="15"/>
      <c r="C21" s="16" t="s">
        <v>39</v>
      </c>
      <c r="D21" s="15" t="s">
        <v>17</v>
      </c>
      <c r="E21" s="18">
        <v>26.5</v>
      </c>
      <c r="F21" s="15" t="s">
        <v>12</v>
      </c>
      <c r="G21" s="15" t="s">
        <v>12</v>
      </c>
      <c r="H21" s="17"/>
    </row>
    <row r="22" spans="1:8">
      <c r="A22" s="13" t="s">
        <v>40</v>
      </c>
      <c r="B22" s="13"/>
      <c r="C22" s="13"/>
      <c r="D22" s="13"/>
      <c r="E22" s="13"/>
      <c r="F22" s="13"/>
      <c r="G22" s="13"/>
      <c r="H22" s="14"/>
    </row>
    <row r="23" ht="27.6" hidden="1" spans="1:8">
      <c r="A23" s="15">
        <f>A19+1</f>
        <v>8</v>
      </c>
      <c r="B23" s="19" t="s">
        <v>41</v>
      </c>
      <c r="C23" s="16" t="s">
        <v>42</v>
      </c>
      <c r="D23" s="15" t="s">
        <v>17</v>
      </c>
      <c r="E23" s="15">
        <v>17</v>
      </c>
      <c r="F23" s="15" t="s">
        <v>12</v>
      </c>
      <c r="G23" s="15" t="s">
        <v>12</v>
      </c>
      <c r="H23" s="17"/>
    </row>
    <row r="24" spans="1:8">
      <c r="A24" s="15">
        <v>8</v>
      </c>
      <c r="B24" s="15" t="s">
        <v>43</v>
      </c>
      <c r="C24" s="16" t="s">
        <v>44</v>
      </c>
      <c r="D24" s="15" t="s">
        <v>17</v>
      </c>
      <c r="E24" s="15">
        <v>8</v>
      </c>
      <c r="F24" s="15" t="s">
        <v>12</v>
      </c>
      <c r="G24" s="15" t="s">
        <v>12</v>
      </c>
      <c r="H24" s="17"/>
    </row>
    <row r="25" ht="27.6" spans="1:8">
      <c r="A25" s="20">
        <f>A23+1</f>
        <v>9</v>
      </c>
      <c r="B25" s="20" t="s">
        <v>45</v>
      </c>
      <c r="C25" s="16" t="s">
        <v>46</v>
      </c>
      <c r="D25" s="15" t="s">
        <v>17</v>
      </c>
      <c r="E25" s="18">
        <v>21.5</v>
      </c>
      <c r="F25" s="15" t="s">
        <v>12</v>
      </c>
      <c r="G25" s="15" t="s">
        <v>12</v>
      </c>
      <c r="H25" s="17"/>
    </row>
    <row r="26" ht="27.6" spans="1:8">
      <c r="A26" s="21"/>
      <c r="B26" s="21"/>
      <c r="C26" s="16" t="s">
        <v>47</v>
      </c>
      <c r="D26" s="15" t="s">
        <v>17</v>
      </c>
      <c r="E26" s="18">
        <v>13.5</v>
      </c>
      <c r="F26" s="15" t="s">
        <v>12</v>
      </c>
      <c r="G26" s="15" t="s">
        <v>12</v>
      </c>
      <c r="H26" s="17"/>
    </row>
    <row r="27" spans="1:8">
      <c r="A27" s="15">
        <v>10</v>
      </c>
      <c r="B27" s="15" t="s">
        <v>48</v>
      </c>
      <c r="C27" s="16" t="s">
        <v>49</v>
      </c>
      <c r="D27" s="15" t="s">
        <v>17</v>
      </c>
      <c r="E27" s="15">
        <v>1.87</v>
      </c>
      <c r="F27" s="15" t="s">
        <v>12</v>
      </c>
      <c r="G27" s="15" t="s">
        <v>12</v>
      </c>
      <c r="H27" s="17"/>
    </row>
    <row r="28" spans="1:8">
      <c r="A28" s="15"/>
      <c r="B28" s="15"/>
      <c r="C28" s="16" t="s">
        <v>50</v>
      </c>
      <c r="D28" s="15" t="s">
        <v>17</v>
      </c>
      <c r="E28" s="15">
        <v>2.95</v>
      </c>
      <c r="F28" s="15" t="s">
        <v>12</v>
      </c>
      <c r="G28" s="15" t="s">
        <v>12</v>
      </c>
      <c r="H28" s="17"/>
    </row>
    <row r="29" spans="1:8">
      <c r="A29" s="15"/>
      <c r="B29" s="15"/>
      <c r="C29" s="16" t="s">
        <v>51</v>
      </c>
      <c r="D29" s="15" t="s">
        <v>17</v>
      </c>
      <c r="E29" s="15">
        <v>15.02</v>
      </c>
      <c r="F29" s="15"/>
      <c r="G29" s="15"/>
      <c r="H29" s="17"/>
    </row>
    <row r="30" spans="1:8">
      <c r="A30" s="15"/>
      <c r="B30" s="15"/>
      <c r="C30" s="16" t="s">
        <v>52</v>
      </c>
      <c r="D30" s="15" t="s">
        <v>17</v>
      </c>
      <c r="E30" s="15">
        <v>38.06</v>
      </c>
      <c r="F30" s="15"/>
      <c r="G30" s="15"/>
      <c r="H30" s="17"/>
    </row>
    <row r="31" spans="1:8">
      <c r="A31" s="15"/>
      <c r="B31" s="15"/>
      <c r="C31" s="16" t="s">
        <v>53</v>
      </c>
      <c r="D31" s="15" t="s">
        <v>17</v>
      </c>
      <c r="E31" s="15">
        <v>36</v>
      </c>
      <c r="F31" s="15"/>
      <c r="G31" s="15"/>
      <c r="H31" s="17"/>
    </row>
    <row r="32" spans="1:8">
      <c r="A32" s="13" t="s">
        <v>54</v>
      </c>
      <c r="B32" s="13"/>
      <c r="C32" s="13"/>
      <c r="D32" s="13"/>
      <c r="E32" s="13"/>
      <c r="F32" s="13"/>
      <c r="G32" s="13"/>
      <c r="H32" s="14"/>
    </row>
    <row r="33" spans="1:8">
      <c r="A33" s="15">
        <f>A27+1</f>
        <v>11</v>
      </c>
      <c r="B33" s="15" t="s">
        <v>55</v>
      </c>
      <c r="C33" s="16" t="s">
        <v>56</v>
      </c>
      <c r="D33" s="15" t="s">
        <v>17</v>
      </c>
      <c r="E33" s="15">
        <v>7</v>
      </c>
      <c r="F33" s="15" t="s">
        <v>12</v>
      </c>
      <c r="G33" s="15" t="s">
        <v>12</v>
      </c>
      <c r="H33" s="17"/>
    </row>
    <row r="34" spans="1:8">
      <c r="A34" s="15"/>
      <c r="B34" s="15"/>
      <c r="C34" s="16" t="s">
        <v>57</v>
      </c>
      <c r="D34" s="15" t="s">
        <v>17</v>
      </c>
      <c r="E34" s="15">
        <v>9</v>
      </c>
      <c r="F34" s="15" t="s">
        <v>12</v>
      </c>
      <c r="G34" s="15" t="s">
        <v>12</v>
      </c>
      <c r="H34" s="17"/>
    </row>
    <row r="35" ht="27.6" spans="1:8">
      <c r="A35" s="15"/>
      <c r="B35" s="15"/>
      <c r="C35" s="16" t="s">
        <v>58</v>
      </c>
      <c r="D35" s="15" t="s">
        <v>17</v>
      </c>
      <c r="E35" s="15">
        <v>23</v>
      </c>
      <c r="F35" s="15" t="s">
        <v>12</v>
      </c>
      <c r="G35" s="15" t="s">
        <v>12</v>
      </c>
      <c r="H35" s="17"/>
    </row>
    <row r="36" ht="27.6" spans="1:8">
      <c r="A36" s="15"/>
      <c r="B36" s="15"/>
      <c r="C36" s="16" t="s">
        <v>59</v>
      </c>
      <c r="D36" s="15" t="s">
        <v>17</v>
      </c>
      <c r="E36" s="15">
        <v>28</v>
      </c>
      <c r="F36" s="15" t="s">
        <v>12</v>
      </c>
      <c r="G36" s="15" t="s">
        <v>12</v>
      </c>
      <c r="H36" s="17"/>
    </row>
    <row r="37" spans="1:8">
      <c r="A37" s="13" t="s">
        <v>60</v>
      </c>
      <c r="B37" s="13"/>
      <c r="C37" s="13"/>
      <c r="D37" s="13"/>
      <c r="E37" s="13"/>
      <c r="F37" s="13"/>
      <c r="G37" s="13"/>
      <c r="H37" s="14"/>
    </row>
    <row r="38" ht="27.6" spans="1:8">
      <c r="A38" s="15">
        <f>A33+1</f>
        <v>12</v>
      </c>
      <c r="B38" s="15" t="s">
        <v>61</v>
      </c>
      <c r="C38" s="16" t="s">
        <v>62</v>
      </c>
      <c r="D38" s="15" t="s">
        <v>17</v>
      </c>
      <c r="E38" s="15">
        <v>9</v>
      </c>
      <c r="F38" s="15" t="s">
        <v>12</v>
      </c>
      <c r="G38" s="15" t="s">
        <v>12</v>
      </c>
      <c r="H38" s="17"/>
    </row>
    <row r="39" spans="1:8">
      <c r="A39" s="20">
        <v>13</v>
      </c>
      <c r="B39" s="20" t="s">
        <v>63</v>
      </c>
      <c r="C39" s="16" t="s">
        <v>64</v>
      </c>
      <c r="D39" s="15" t="s">
        <v>65</v>
      </c>
      <c r="E39" s="15">
        <v>22</v>
      </c>
      <c r="F39" s="15"/>
      <c r="G39" s="15"/>
      <c r="H39" s="17"/>
    </row>
    <row r="40" ht="35.25" customHeight="1" spans="1:8">
      <c r="A40" s="21"/>
      <c r="B40" s="21"/>
      <c r="C40" s="16" t="s">
        <v>66</v>
      </c>
      <c r="D40" s="15" t="s">
        <v>65</v>
      </c>
      <c r="E40" s="15">
        <v>23.5</v>
      </c>
      <c r="F40" s="15"/>
      <c r="G40" s="15"/>
      <c r="H40" s="17"/>
    </row>
    <row r="41" ht="18" customHeight="1" spans="1:8">
      <c r="A41" s="13" t="s">
        <v>67</v>
      </c>
      <c r="B41" s="13"/>
      <c r="C41" s="13"/>
      <c r="D41" s="13"/>
      <c r="E41" s="13"/>
      <c r="F41" s="13"/>
      <c r="G41" s="13"/>
      <c r="H41" s="14"/>
    </row>
    <row r="42" ht="18" customHeight="1" spans="1:9">
      <c r="A42" s="20">
        <v>14</v>
      </c>
      <c r="B42" s="20" t="s">
        <v>68</v>
      </c>
      <c r="C42" s="16" t="s">
        <v>69</v>
      </c>
      <c r="D42" s="15" t="s">
        <v>65</v>
      </c>
      <c r="E42" s="15">
        <v>60</v>
      </c>
      <c r="F42" s="13"/>
      <c r="G42" s="13"/>
      <c r="I42">
        <f>H42*2274</f>
        <v>0</v>
      </c>
    </row>
    <row r="43" ht="18" customHeight="1" spans="1:9">
      <c r="A43" s="22"/>
      <c r="B43" s="22"/>
      <c r="C43" s="16" t="s">
        <v>70</v>
      </c>
      <c r="D43" s="15" t="s">
        <v>65</v>
      </c>
      <c r="E43" s="15">
        <v>60</v>
      </c>
      <c r="F43" s="13"/>
      <c r="G43" s="13"/>
      <c r="H43" s="14"/>
      <c r="I43">
        <f>H43*2979</f>
        <v>0</v>
      </c>
    </row>
    <row r="44" ht="18" customHeight="1" spans="1:9">
      <c r="A44" s="22"/>
      <c r="B44" s="22"/>
      <c r="C44" s="23" t="s">
        <v>71</v>
      </c>
      <c r="D44" s="20" t="s">
        <v>72</v>
      </c>
      <c r="E44" s="18">
        <v>4</v>
      </c>
      <c r="F44" s="15" t="s">
        <v>12</v>
      </c>
      <c r="G44" s="15" t="s">
        <v>12</v>
      </c>
      <c r="H44" s="17"/>
      <c r="I44">
        <f>SUM(I42:I43)</f>
        <v>0</v>
      </c>
    </row>
    <row r="45" ht="18" customHeight="1" spans="1:13">
      <c r="A45" s="22"/>
      <c r="B45" s="22"/>
      <c r="C45" s="24"/>
      <c r="D45" s="22"/>
      <c r="E45" s="18">
        <v>5.5</v>
      </c>
      <c r="F45" s="15" t="s">
        <v>12</v>
      </c>
      <c r="G45" s="15" t="s">
        <v>12</v>
      </c>
      <c r="H45" s="17"/>
      <c r="I45">
        <f>I44/1000</f>
        <v>0</v>
      </c>
      <c r="K45">
        <f>I45/30</f>
        <v>0</v>
      </c>
      <c r="M45">
        <f>2979+2274</f>
        <v>5253</v>
      </c>
    </row>
    <row r="46" ht="18" customHeight="1" spans="1:13">
      <c r="A46" s="21"/>
      <c r="B46" s="21"/>
      <c r="C46" s="25"/>
      <c r="D46" s="21"/>
      <c r="E46" s="15">
        <v>6</v>
      </c>
      <c r="F46" s="15" t="s">
        <v>12</v>
      </c>
      <c r="G46" s="15" t="s">
        <v>12</v>
      </c>
      <c r="H46" s="17"/>
      <c r="M46">
        <f>M45/30</f>
        <v>175.1</v>
      </c>
    </row>
    <row r="47" ht="41.4" hidden="1" spans="1:8">
      <c r="A47" s="15">
        <v>16</v>
      </c>
      <c r="B47" s="19" t="s">
        <v>73</v>
      </c>
      <c r="C47" s="26" t="s">
        <v>74</v>
      </c>
      <c r="D47" s="15" t="s">
        <v>17</v>
      </c>
      <c r="E47" s="27">
        <v>13</v>
      </c>
      <c r="F47" s="15" t="s">
        <v>12</v>
      </c>
      <c r="G47" s="15" t="s">
        <v>12</v>
      </c>
      <c r="H47" s="17"/>
    </row>
    <row r="48" spans="1:11">
      <c r="A48" s="15">
        <v>15</v>
      </c>
      <c r="B48" s="15" t="s">
        <v>75</v>
      </c>
      <c r="C48" s="26" t="s">
        <v>76</v>
      </c>
      <c r="D48" s="15" t="s">
        <v>17</v>
      </c>
      <c r="E48" s="15">
        <v>6</v>
      </c>
      <c r="F48" s="15"/>
      <c r="G48" s="28" t="s">
        <v>77</v>
      </c>
      <c r="H48" s="29"/>
      <c r="I48" s="34"/>
      <c r="J48" s="10" t="s">
        <v>78</v>
      </c>
      <c r="K48" s="10" t="s">
        <v>79</v>
      </c>
    </row>
    <row r="49" ht="27.6" spans="1:11">
      <c r="A49" s="15"/>
      <c r="B49" s="15"/>
      <c r="C49" s="26" t="s">
        <v>80</v>
      </c>
      <c r="D49" s="15" t="s">
        <v>17</v>
      </c>
      <c r="E49" s="15">
        <v>9</v>
      </c>
      <c r="F49" s="15"/>
      <c r="G49" s="28"/>
      <c r="H49" s="29"/>
      <c r="I49" s="34"/>
      <c r="J49" s="10"/>
      <c r="K49" s="10"/>
    </row>
    <row r="50" ht="27.6" spans="1:11">
      <c r="A50" s="15"/>
      <c r="B50" s="15"/>
      <c r="C50" s="26" t="s">
        <v>81</v>
      </c>
      <c r="D50" s="15" t="s">
        <v>17</v>
      </c>
      <c r="E50" s="15">
        <v>18</v>
      </c>
      <c r="F50" s="15"/>
      <c r="G50" s="28"/>
      <c r="H50" s="29"/>
      <c r="I50" s="34"/>
      <c r="J50" s="10"/>
      <c r="K50" s="10"/>
    </row>
    <row r="51" ht="27.6" spans="1:11">
      <c r="A51" s="15"/>
      <c r="B51" s="15"/>
      <c r="C51" s="26" t="s">
        <v>82</v>
      </c>
      <c r="D51" s="15" t="s">
        <v>17</v>
      </c>
      <c r="E51" s="15">
        <v>27</v>
      </c>
      <c r="F51" s="15"/>
      <c r="G51" s="28" t="s">
        <v>77</v>
      </c>
      <c r="H51" s="29"/>
      <c r="I51" s="34"/>
      <c r="J51" s="35" t="s">
        <v>83</v>
      </c>
      <c r="K51" s="35" t="s">
        <v>84</v>
      </c>
    </row>
    <row r="52" ht="18" customHeight="1" spans="1:8">
      <c r="A52" s="13" t="s">
        <v>85</v>
      </c>
      <c r="B52" s="13"/>
      <c r="C52" s="13"/>
      <c r="D52" s="13"/>
      <c r="E52" s="13"/>
      <c r="F52" s="13"/>
      <c r="G52" s="13"/>
      <c r="H52" s="14"/>
    </row>
    <row r="53" spans="1:8">
      <c r="A53" s="20">
        <v>16</v>
      </c>
      <c r="B53" s="23" t="s">
        <v>86</v>
      </c>
      <c r="C53" s="26" t="s">
        <v>87</v>
      </c>
      <c r="D53" s="15" t="s">
        <v>17</v>
      </c>
      <c r="E53" s="27">
        <v>2.4</v>
      </c>
      <c r="F53" s="15" t="s">
        <v>12</v>
      </c>
      <c r="G53" s="15" t="s">
        <v>12</v>
      </c>
      <c r="H53" s="30"/>
    </row>
    <row r="54" spans="1:8">
      <c r="A54" s="22"/>
      <c r="B54" s="24"/>
      <c r="C54" s="26" t="s">
        <v>88</v>
      </c>
      <c r="D54" s="15" t="s">
        <v>17</v>
      </c>
      <c r="E54" s="27">
        <v>2.4</v>
      </c>
      <c r="F54" s="15" t="s">
        <v>12</v>
      </c>
      <c r="G54" s="15" t="s">
        <v>12</v>
      </c>
      <c r="H54" s="30"/>
    </row>
    <row r="55" spans="1:9">
      <c r="A55" s="22"/>
      <c r="B55" s="24"/>
      <c r="C55" s="26" t="s">
        <v>89</v>
      </c>
      <c r="D55" s="15" t="s">
        <v>17</v>
      </c>
      <c r="E55" s="27">
        <v>2.4</v>
      </c>
      <c r="F55" s="15" t="s">
        <v>12</v>
      </c>
      <c r="G55" s="15" t="s">
        <v>12</v>
      </c>
      <c r="H55" s="30"/>
      <c r="I55">
        <f>600*9.14</f>
        <v>5484</v>
      </c>
    </row>
    <row r="56" spans="1:9">
      <c r="A56" s="21"/>
      <c r="B56" s="25"/>
      <c r="C56" s="26" t="s">
        <v>90</v>
      </c>
      <c r="D56" s="15" t="s">
        <v>17</v>
      </c>
      <c r="E56" s="27">
        <v>2.4</v>
      </c>
      <c r="F56" s="15" t="s">
        <v>12</v>
      </c>
      <c r="G56" s="15" t="s">
        <v>12</v>
      </c>
      <c r="H56" s="30"/>
      <c r="I56">
        <f>3180*9.14</f>
        <v>29065.2</v>
      </c>
    </row>
    <row r="57" spans="1:9">
      <c r="A57" s="13" t="s">
        <v>91</v>
      </c>
      <c r="B57" s="13"/>
      <c r="C57" s="13"/>
      <c r="D57" s="13"/>
      <c r="E57" s="13"/>
      <c r="F57" s="13"/>
      <c r="G57" s="13"/>
      <c r="H57" s="14"/>
      <c r="I57">
        <f>SUM(I55:I56)</f>
        <v>34549.2</v>
      </c>
    </row>
    <row r="58" ht="42.75" customHeight="1" spans="1:15">
      <c r="A58" s="15">
        <f>A53+1</f>
        <v>17</v>
      </c>
      <c r="B58" s="15" t="s">
        <v>92</v>
      </c>
      <c r="C58" s="16" t="s">
        <v>93</v>
      </c>
      <c r="D58" s="15" t="s">
        <v>11</v>
      </c>
      <c r="E58" s="18">
        <v>183.06500737421</v>
      </c>
      <c r="F58" s="15"/>
      <c r="G58" s="15"/>
      <c r="H58" s="17"/>
      <c r="I58">
        <f>I57/1000</f>
        <v>34.5492</v>
      </c>
      <c r="O58">
        <f>13000*9.14</f>
        <v>118820</v>
      </c>
    </row>
    <row r="59" spans="1:9">
      <c r="A59" s="15"/>
      <c r="B59" s="15"/>
      <c r="C59" s="16" t="s">
        <v>71</v>
      </c>
      <c r="D59" s="15" t="s">
        <v>72</v>
      </c>
      <c r="E59" s="18">
        <v>9</v>
      </c>
      <c r="F59" s="15"/>
      <c r="G59" s="15"/>
      <c r="H59" s="17"/>
      <c r="I59">
        <f>I45+I58</f>
        <v>34.5492</v>
      </c>
    </row>
    <row r="60" hidden="1" spans="1:8">
      <c r="A60" s="15">
        <f>A58+1</f>
        <v>18</v>
      </c>
      <c r="B60" s="15" t="s">
        <v>75</v>
      </c>
      <c r="C60" s="26" t="s">
        <v>76</v>
      </c>
      <c r="D60" s="15" t="s">
        <v>17</v>
      </c>
      <c r="E60" s="15">
        <v>6</v>
      </c>
      <c r="F60" s="15" t="s">
        <v>12</v>
      </c>
      <c r="G60" s="15" t="s">
        <v>12</v>
      </c>
      <c r="H60" s="17"/>
    </row>
    <row r="61" ht="27.6" hidden="1" spans="1:8">
      <c r="A61" s="15"/>
      <c r="B61" s="15"/>
      <c r="C61" s="26" t="s">
        <v>80</v>
      </c>
      <c r="D61" s="15" t="s">
        <v>17</v>
      </c>
      <c r="E61" s="15">
        <v>9</v>
      </c>
      <c r="F61" s="15" t="s">
        <v>12</v>
      </c>
      <c r="G61" s="15" t="s">
        <v>12</v>
      </c>
      <c r="H61" s="17"/>
    </row>
    <row r="62" ht="27.6" hidden="1" spans="1:8">
      <c r="A62" s="15"/>
      <c r="B62" s="15"/>
      <c r="C62" s="26" t="s">
        <v>82</v>
      </c>
      <c r="D62" s="15" t="s">
        <v>17</v>
      </c>
      <c r="E62" s="15">
        <v>27</v>
      </c>
      <c r="F62" s="15" t="s">
        <v>12</v>
      </c>
      <c r="G62" s="15" t="s">
        <v>12</v>
      </c>
      <c r="H62" s="31"/>
    </row>
    <row r="63" spans="1:13">
      <c r="A63" s="32" t="s">
        <v>94</v>
      </c>
      <c r="B63" s="32"/>
      <c r="C63" s="32"/>
      <c r="D63" s="32"/>
      <c r="E63" s="32"/>
      <c r="F63" s="32"/>
      <c r="G63" s="32"/>
      <c r="H63" s="33"/>
      <c r="I63">
        <f>I59/30</f>
        <v>1.15164</v>
      </c>
      <c r="M63">
        <f>13500*9.14</f>
        <v>123390</v>
      </c>
    </row>
    <row r="64" ht="41.4" spans="1:8">
      <c r="A64" s="15">
        <v>18</v>
      </c>
      <c r="B64" s="15" t="s">
        <v>95</v>
      </c>
      <c r="C64" s="26" t="s">
        <v>96</v>
      </c>
      <c r="D64" s="15" t="s">
        <v>17</v>
      </c>
      <c r="E64" s="15">
        <v>5.75</v>
      </c>
      <c r="F64" s="15" t="s">
        <v>12</v>
      </c>
      <c r="G64" s="15" t="s">
        <v>12</v>
      </c>
      <c r="H64" s="17"/>
    </row>
    <row r="65" spans="1:8">
      <c r="A65" s="13" t="s">
        <v>97</v>
      </c>
      <c r="B65" s="13"/>
      <c r="C65" s="13"/>
      <c r="D65" s="13"/>
      <c r="E65" s="13"/>
      <c r="F65" s="13"/>
      <c r="G65" s="13"/>
      <c r="H65" s="14"/>
    </row>
    <row r="66" spans="1:8">
      <c r="A66" s="15">
        <f>A64+1</f>
        <v>19</v>
      </c>
      <c r="B66" s="15" t="s">
        <v>98</v>
      </c>
      <c r="C66" s="16" t="s">
        <v>99</v>
      </c>
      <c r="D66" s="15" t="s">
        <v>17</v>
      </c>
      <c r="E66" s="15">
        <v>25</v>
      </c>
      <c r="F66" s="15" t="s">
        <v>12</v>
      </c>
      <c r="G66" s="15" t="s">
        <v>12</v>
      </c>
      <c r="H66" s="17"/>
    </row>
    <row r="67" spans="1:8">
      <c r="A67" s="15"/>
      <c r="B67" s="15"/>
      <c r="C67" s="16" t="s">
        <v>100</v>
      </c>
      <c r="D67" s="15" t="s">
        <v>17</v>
      </c>
      <c r="E67" s="15">
        <v>30</v>
      </c>
      <c r="F67" s="15" t="s">
        <v>12</v>
      </c>
      <c r="G67" s="15" t="s">
        <v>12</v>
      </c>
      <c r="H67" s="17"/>
    </row>
    <row r="68" spans="1:8">
      <c r="A68" s="13" t="s">
        <v>101</v>
      </c>
      <c r="B68" s="13"/>
      <c r="C68" s="13"/>
      <c r="D68" s="13"/>
      <c r="E68" s="13"/>
      <c r="F68" s="13"/>
      <c r="G68" s="13"/>
      <c r="H68" s="14"/>
    </row>
    <row r="69" ht="27.6" spans="1:8">
      <c r="A69" s="15">
        <f>A66+1</f>
        <v>20</v>
      </c>
      <c r="B69" s="15" t="s">
        <v>102</v>
      </c>
      <c r="C69" s="16" t="s">
        <v>103</v>
      </c>
      <c r="D69" s="15" t="s">
        <v>11</v>
      </c>
      <c r="E69" s="15">
        <v>54</v>
      </c>
      <c r="F69" s="15" t="s">
        <v>12</v>
      </c>
      <c r="G69" s="15" t="s">
        <v>12</v>
      </c>
      <c r="H69" s="17"/>
    </row>
    <row r="70" ht="27.6" spans="1:8">
      <c r="A70" s="15"/>
      <c r="B70" s="15"/>
      <c r="C70" s="16" t="s">
        <v>104</v>
      </c>
      <c r="D70" s="15" t="s">
        <v>11</v>
      </c>
      <c r="E70" s="15">
        <v>29</v>
      </c>
      <c r="F70" s="15"/>
      <c r="G70" s="15"/>
      <c r="H70" s="17"/>
    </row>
    <row r="71" ht="41.4" spans="1:8">
      <c r="A71" s="15"/>
      <c r="B71" s="15"/>
      <c r="C71" s="16" t="s">
        <v>105</v>
      </c>
      <c r="D71" s="15" t="s">
        <v>17</v>
      </c>
      <c r="E71" s="15">
        <v>15</v>
      </c>
      <c r="F71" s="15" t="s">
        <v>12</v>
      </c>
      <c r="G71" s="15" t="s">
        <v>12</v>
      </c>
      <c r="H71" s="17"/>
    </row>
    <row r="72" ht="27.6" spans="1:8">
      <c r="A72" s="15"/>
      <c r="B72" s="15"/>
      <c r="C72" s="16" t="s">
        <v>106</v>
      </c>
      <c r="D72" s="15" t="s">
        <v>17</v>
      </c>
      <c r="E72" s="15">
        <v>37</v>
      </c>
      <c r="F72" s="15" t="s">
        <v>12</v>
      </c>
      <c r="G72" s="15" t="s">
        <v>12</v>
      </c>
      <c r="H72" s="17"/>
    </row>
    <row r="73" ht="27.6" spans="1:8">
      <c r="A73" s="15"/>
      <c r="B73" s="15"/>
      <c r="C73" s="16" t="s">
        <v>107</v>
      </c>
      <c r="D73" s="15" t="s">
        <v>17</v>
      </c>
      <c r="E73" s="15">
        <v>52</v>
      </c>
      <c r="F73" s="15" t="s">
        <v>12</v>
      </c>
      <c r="G73" s="15" t="s">
        <v>12</v>
      </c>
      <c r="H73" s="17"/>
    </row>
    <row r="74" spans="1:8">
      <c r="A74" s="15"/>
      <c r="B74" s="15"/>
      <c r="C74" s="16" t="s">
        <v>108</v>
      </c>
      <c r="D74" s="15" t="s">
        <v>17</v>
      </c>
      <c r="E74" s="15">
        <v>54</v>
      </c>
      <c r="F74" s="15" t="s">
        <v>12</v>
      </c>
      <c r="G74" s="15" t="s">
        <v>12</v>
      </c>
      <c r="H74" s="17"/>
    </row>
    <row r="75" spans="1:8">
      <c r="A75" s="15">
        <f>A69+1</f>
        <v>21</v>
      </c>
      <c r="B75" s="15" t="s">
        <v>109</v>
      </c>
      <c r="C75" s="16" t="s">
        <v>110</v>
      </c>
      <c r="D75" s="15" t="s">
        <v>11</v>
      </c>
      <c r="E75" s="15">
        <v>168</v>
      </c>
      <c r="F75" s="15" t="s">
        <v>12</v>
      </c>
      <c r="G75" s="15" t="s">
        <v>12</v>
      </c>
      <c r="H75" s="17"/>
    </row>
    <row r="76" spans="1:8">
      <c r="A76" s="15"/>
      <c r="B76" s="15"/>
      <c r="C76" s="16" t="s">
        <v>111</v>
      </c>
      <c r="D76" s="15" t="s">
        <v>17</v>
      </c>
      <c r="E76" s="15">
        <v>43</v>
      </c>
      <c r="F76" s="15" t="s">
        <v>12</v>
      </c>
      <c r="G76" s="15" t="s">
        <v>12</v>
      </c>
      <c r="H76" s="17"/>
    </row>
    <row r="77" ht="27.6" spans="1:8">
      <c r="A77" s="15">
        <f>A75+1</f>
        <v>22</v>
      </c>
      <c r="B77" s="15" t="s">
        <v>112</v>
      </c>
      <c r="C77" s="16" t="s">
        <v>110</v>
      </c>
      <c r="D77" s="15" t="s">
        <v>11</v>
      </c>
      <c r="E77" s="15">
        <v>180</v>
      </c>
      <c r="F77" s="15" t="s">
        <v>12</v>
      </c>
      <c r="G77" s="15" t="s">
        <v>12</v>
      </c>
      <c r="H77" s="17"/>
    </row>
    <row r="78" spans="1:8">
      <c r="A78" s="15">
        <f>A77+1</f>
        <v>23</v>
      </c>
      <c r="B78" s="15" t="s">
        <v>113</v>
      </c>
      <c r="C78" s="16" t="s">
        <v>114</v>
      </c>
      <c r="D78" s="15" t="s">
        <v>11</v>
      </c>
      <c r="E78" s="15">
        <v>58</v>
      </c>
      <c r="F78" s="15" t="s">
        <v>12</v>
      </c>
      <c r="G78" s="15" t="s">
        <v>12</v>
      </c>
      <c r="H78" s="17"/>
    </row>
    <row r="79" spans="1:8">
      <c r="A79" s="15"/>
      <c r="B79" s="15"/>
      <c r="C79" s="16" t="s">
        <v>115</v>
      </c>
      <c r="D79" s="15" t="s">
        <v>11</v>
      </c>
      <c r="E79" s="15">
        <v>67</v>
      </c>
      <c r="F79" s="15" t="s">
        <v>12</v>
      </c>
      <c r="G79" s="15" t="s">
        <v>12</v>
      </c>
      <c r="H79" s="17"/>
    </row>
    <row r="80" ht="27.6" spans="1:8">
      <c r="A80" s="15"/>
      <c r="B80" s="15"/>
      <c r="C80" s="16" t="s">
        <v>116</v>
      </c>
      <c r="D80" s="15" t="s">
        <v>11</v>
      </c>
      <c r="E80" s="15">
        <v>180</v>
      </c>
      <c r="F80" s="15" t="s">
        <v>12</v>
      </c>
      <c r="G80" s="15" t="s">
        <v>12</v>
      </c>
      <c r="H80" s="17"/>
    </row>
    <row r="81" ht="27.6" spans="1:8">
      <c r="A81" s="15"/>
      <c r="B81" s="15"/>
      <c r="C81" s="16" t="s">
        <v>117</v>
      </c>
      <c r="D81" s="15" t="s">
        <v>11</v>
      </c>
      <c r="E81" s="15">
        <v>185</v>
      </c>
      <c r="F81" s="15" t="s">
        <v>12</v>
      </c>
      <c r="G81" s="15" t="s">
        <v>12</v>
      </c>
      <c r="H81" s="17"/>
    </row>
    <row r="82" ht="27.6" spans="1:8">
      <c r="A82" s="15"/>
      <c r="B82" s="15"/>
      <c r="C82" s="16" t="s">
        <v>118</v>
      </c>
      <c r="D82" s="15" t="s">
        <v>11</v>
      </c>
      <c r="E82" s="15">
        <v>205</v>
      </c>
      <c r="F82" s="15" t="s">
        <v>12</v>
      </c>
      <c r="G82" s="15" t="s">
        <v>12</v>
      </c>
      <c r="H82" s="17"/>
    </row>
    <row r="83" spans="1:8">
      <c r="A83" s="15">
        <f>A78+1</f>
        <v>24</v>
      </c>
      <c r="B83" s="15" t="s">
        <v>119</v>
      </c>
      <c r="C83" s="19" t="s">
        <v>120</v>
      </c>
      <c r="D83" s="15" t="s">
        <v>11</v>
      </c>
      <c r="E83" s="15">
        <v>75</v>
      </c>
      <c r="F83" s="15" t="s">
        <v>12</v>
      </c>
      <c r="G83" s="15" t="s">
        <v>12</v>
      </c>
      <c r="H83" s="17"/>
    </row>
    <row r="84" ht="41.4" spans="1:8">
      <c r="A84" s="15"/>
      <c r="B84" s="15"/>
      <c r="C84" s="19" t="s">
        <v>121</v>
      </c>
      <c r="D84" s="15" t="s">
        <v>11</v>
      </c>
      <c r="E84" s="15">
        <v>10</v>
      </c>
      <c r="F84" s="15" t="s">
        <v>12</v>
      </c>
      <c r="G84" s="15" t="s">
        <v>12</v>
      </c>
      <c r="H84" s="17"/>
    </row>
    <row r="85" ht="55.2" spans="1:8">
      <c r="A85" s="15">
        <f>A83+1</f>
        <v>25</v>
      </c>
      <c r="B85" s="15" t="s">
        <v>122</v>
      </c>
      <c r="C85" s="16" t="s">
        <v>123</v>
      </c>
      <c r="D85" s="15" t="s">
        <v>11</v>
      </c>
      <c r="E85" s="15">
        <v>28</v>
      </c>
      <c r="F85" s="15" t="s">
        <v>12</v>
      </c>
      <c r="G85" s="15" t="s">
        <v>12</v>
      </c>
      <c r="H85" s="17"/>
    </row>
    <row r="86" ht="55.2" spans="1:8">
      <c r="A86" s="15">
        <f>A85+1</f>
        <v>26</v>
      </c>
      <c r="B86" s="15" t="s">
        <v>124</v>
      </c>
      <c r="C86" s="16" t="s">
        <v>125</v>
      </c>
      <c r="D86" s="15" t="s">
        <v>11</v>
      </c>
      <c r="E86" s="15">
        <v>20</v>
      </c>
      <c r="F86" s="15" t="s">
        <v>12</v>
      </c>
      <c r="G86" s="15" t="s">
        <v>12</v>
      </c>
      <c r="H86" s="17"/>
    </row>
    <row r="87" ht="41.4" spans="1:8">
      <c r="A87" s="15">
        <f>A86+1</f>
        <v>27</v>
      </c>
      <c r="B87" s="15" t="s">
        <v>126</v>
      </c>
      <c r="C87" s="16" t="s">
        <v>127</v>
      </c>
      <c r="D87" s="15" t="s">
        <v>11</v>
      </c>
      <c r="E87" s="15">
        <v>37</v>
      </c>
      <c r="F87" s="15" t="s">
        <v>12</v>
      </c>
      <c r="G87" s="15" t="s">
        <v>12</v>
      </c>
      <c r="H87" s="17"/>
    </row>
  </sheetData>
  <mergeCells count="52">
    <mergeCell ref="A1:G1"/>
    <mergeCell ref="A2:G2"/>
    <mergeCell ref="A4:G4"/>
    <mergeCell ref="A7:G7"/>
    <mergeCell ref="A22:G22"/>
    <mergeCell ref="A32:G32"/>
    <mergeCell ref="A37:G37"/>
    <mergeCell ref="A41:G41"/>
    <mergeCell ref="A52:G52"/>
    <mergeCell ref="A57:G57"/>
    <mergeCell ref="A63:G63"/>
    <mergeCell ref="A65:G65"/>
    <mergeCell ref="A68:G68"/>
    <mergeCell ref="A8:A9"/>
    <mergeCell ref="A14:A17"/>
    <mergeCell ref="A19:A21"/>
    <mergeCell ref="A25:A26"/>
    <mergeCell ref="A27:A31"/>
    <mergeCell ref="A33:A36"/>
    <mergeCell ref="A39:A40"/>
    <mergeCell ref="A42:A46"/>
    <mergeCell ref="A48:A51"/>
    <mergeCell ref="A53:A56"/>
    <mergeCell ref="A58:A59"/>
    <mergeCell ref="A60:A62"/>
    <mergeCell ref="A66:A67"/>
    <mergeCell ref="A69:A74"/>
    <mergeCell ref="A75:A76"/>
    <mergeCell ref="A78:A82"/>
    <mergeCell ref="A83:A84"/>
    <mergeCell ref="B8:B9"/>
    <mergeCell ref="B14:B17"/>
    <mergeCell ref="B19:B21"/>
    <mergeCell ref="B25:B26"/>
    <mergeCell ref="B27:B31"/>
    <mergeCell ref="B33:B36"/>
    <mergeCell ref="B39:B40"/>
    <mergeCell ref="B42:B46"/>
    <mergeCell ref="B48:B51"/>
    <mergeCell ref="B53:B56"/>
    <mergeCell ref="B58:B59"/>
    <mergeCell ref="B60:B62"/>
    <mergeCell ref="B66:B67"/>
    <mergeCell ref="B69:B74"/>
    <mergeCell ref="B75:B76"/>
    <mergeCell ref="B78:B82"/>
    <mergeCell ref="B83:B84"/>
    <mergeCell ref="C44:C46"/>
    <mergeCell ref="D44:D46"/>
    <mergeCell ref="G48:G49"/>
    <mergeCell ref="J48:J49"/>
    <mergeCell ref="K48:K49"/>
  </mergeCells>
  <printOptions gridLines="1"/>
  <pageMargins left="0.511811023622047" right="0.118110236220472" top="0.354330708661417" bottom="0.551181102362205" header="0.31496062992126" footer="0.31496062992126"/>
  <pageSetup paperSize="8" scale="76" fitToHeight="2" orientation="landscape"/>
  <headerFooter>
    <oddFooter>&amp;L&amp;"Cambria"&amp;11&amp;KFF751A </oddFooter>
  </headerFooter>
  <rowBreaks count="1" manualBreakCount="1">
    <brk id="31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7"/>
  <sheetViews>
    <sheetView tabSelected="1" workbookViewId="0">
      <selection activeCell="G8" sqref="G8"/>
    </sheetView>
  </sheetViews>
  <sheetFormatPr defaultColWidth="9" defaultRowHeight="14.4"/>
  <cols>
    <col min="1" max="1" width="10.3333333333333" customWidth="1"/>
    <col min="2" max="2" width="15.4444444444444" customWidth="1"/>
    <col min="3" max="3" width="21.5555555555556" customWidth="1"/>
    <col min="4" max="4" width="19.6666666666667" customWidth="1"/>
  </cols>
  <sheetData>
    <row r="1" spans="1:4">
      <c r="A1" s="1" t="s">
        <v>128</v>
      </c>
      <c r="B1" s="1" t="s">
        <v>129</v>
      </c>
      <c r="C1" s="1" t="s">
        <v>130</v>
      </c>
      <c r="D1" s="1" t="s">
        <v>131</v>
      </c>
    </row>
    <row r="2" spans="1:4">
      <c r="A2" s="1">
        <v>3615</v>
      </c>
      <c r="B2" s="1">
        <v>36</v>
      </c>
      <c r="C2" s="1" t="s">
        <v>132</v>
      </c>
      <c r="D2" s="1">
        <v>210</v>
      </c>
    </row>
    <row r="3" spans="1:4">
      <c r="A3" s="1">
        <v>3616</v>
      </c>
      <c r="B3" s="1">
        <v>36</v>
      </c>
      <c r="C3" s="1" t="s">
        <v>132</v>
      </c>
      <c r="D3" s="1">
        <v>210</v>
      </c>
    </row>
    <row r="4" spans="1:4">
      <c r="A4" s="1">
        <v>4501</v>
      </c>
      <c r="B4" s="1">
        <v>45</v>
      </c>
      <c r="C4" s="1" t="s">
        <v>133</v>
      </c>
      <c r="D4" s="1">
        <v>430</v>
      </c>
    </row>
    <row r="5" spans="1:4">
      <c r="A5" s="1">
        <v>4502</v>
      </c>
      <c r="B5" s="1">
        <v>45</v>
      </c>
      <c r="C5" s="1" t="s">
        <v>133</v>
      </c>
      <c r="D5" s="1">
        <v>430</v>
      </c>
    </row>
    <row r="6" spans="1:4">
      <c r="A6" s="1">
        <v>4503</v>
      </c>
      <c r="B6" s="1">
        <v>45</v>
      </c>
      <c r="C6" s="1" t="s">
        <v>133</v>
      </c>
      <c r="D6" s="1">
        <v>430</v>
      </c>
    </row>
    <row r="7" spans="1:14">
      <c r="A7" s="1">
        <v>4504</v>
      </c>
      <c r="B7" s="1">
        <v>45</v>
      </c>
      <c r="C7" s="1" t="s">
        <v>133</v>
      </c>
      <c r="D7" s="1">
        <v>430</v>
      </c>
      <c r="N7" s="2"/>
    </row>
    <row r="8" spans="1:14">
      <c r="A8" s="1">
        <v>4505</v>
      </c>
      <c r="B8" s="1">
        <v>45</v>
      </c>
      <c r="C8" s="1" t="s">
        <v>133</v>
      </c>
      <c r="D8" s="1">
        <v>430</v>
      </c>
      <c r="N8" s="2"/>
    </row>
    <row r="9" spans="1:14">
      <c r="A9" s="1">
        <v>4506</v>
      </c>
      <c r="B9" s="1">
        <v>45</v>
      </c>
      <c r="C9" s="1" t="s">
        <v>133</v>
      </c>
      <c r="D9" s="1">
        <v>430</v>
      </c>
      <c r="N9" s="2"/>
    </row>
    <row r="10" spans="1:14">
      <c r="A10" s="1">
        <v>4507</v>
      </c>
      <c r="B10" s="1">
        <v>45</v>
      </c>
      <c r="C10" s="1" t="s">
        <v>133</v>
      </c>
      <c r="D10" s="1">
        <v>430</v>
      </c>
      <c r="N10" s="2"/>
    </row>
    <row r="11" spans="1:14">
      <c r="A11" s="1">
        <v>4508</v>
      </c>
      <c r="B11" s="1">
        <v>45</v>
      </c>
      <c r="C11" s="1" t="s">
        <v>133</v>
      </c>
      <c r="D11" s="1">
        <v>430</v>
      </c>
      <c r="N11" s="2"/>
    </row>
    <row r="12" spans="1:14">
      <c r="A12" s="1">
        <v>4509</v>
      </c>
      <c r="B12" s="1">
        <v>45</v>
      </c>
      <c r="C12" s="1" t="s">
        <v>133</v>
      </c>
      <c r="D12" s="1">
        <v>430</v>
      </c>
      <c r="N12" s="2"/>
    </row>
    <row r="13" spans="1:14">
      <c r="A13" s="1">
        <v>4510</v>
      </c>
      <c r="B13" s="1">
        <v>45</v>
      </c>
      <c r="C13" s="1" t="s">
        <v>133</v>
      </c>
      <c r="D13" s="1">
        <v>430</v>
      </c>
      <c r="N13" s="2"/>
    </row>
    <row r="14" spans="1:14">
      <c r="A14" s="1">
        <v>4511</v>
      </c>
      <c r="B14" s="1">
        <v>45</v>
      </c>
      <c r="C14" s="1" t="s">
        <v>133</v>
      </c>
      <c r="D14" s="1">
        <v>430</v>
      </c>
      <c r="N14" s="2"/>
    </row>
    <row r="15" spans="1:14">
      <c r="A15" s="1">
        <v>4512</v>
      </c>
      <c r="B15" s="1">
        <v>45</v>
      </c>
      <c r="C15" s="1" t="s">
        <v>133</v>
      </c>
      <c r="D15" s="1">
        <v>430</v>
      </c>
      <c r="N15" s="2"/>
    </row>
    <row r="16" spans="1:14">
      <c r="A16" s="1">
        <v>4513</v>
      </c>
      <c r="B16" s="1">
        <v>45</v>
      </c>
      <c r="C16" s="1" t="s">
        <v>133</v>
      </c>
      <c r="D16" s="1">
        <v>430</v>
      </c>
      <c r="N16" s="2"/>
    </row>
    <row r="17" spans="1:14">
      <c r="A17" s="1">
        <v>4514</v>
      </c>
      <c r="B17" s="1">
        <v>45</v>
      </c>
      <c r="C17" s="1" t="s">
        <v>133</v>
      </c>
      <c r="D17" s="1">
        <v>430</v>
      </c>
      <c r="N17" s="2"/>
    </row>
    <row r="18" spans="1:14">
      <c r="A18" s="1">
        <v>4515</v>
      </c>
      <c r="B18" s="1">
        <v>45</v>
      </c>
      <c r="C18" s="1" t="s">
        <v>133</v>
      </c>
      <c r="D18" s="1">
        <v>430</v>
      </c>
      <c r="N18" s="2"/>
    </row>
    <row r="19" spans="1:4">
      <c r="A19" s="1">
        <v>4601</v>
      </c>
      <c r="B19" s="1">
        <v>46</v>
      </c>
      <c r="C19" s="1" t="s">
        <v>134</v>
      </c>
      <c r="D19" s="1">
        <v>270</v>
      </c>
    </row>
    <row r="20" spans="1:4">
      <c r="A20" s="1">
        <v>4602</v>
      </c>
      <c r="B20" s="1">
        <v>46</v>
      </c>
      <c r="C20" s="1" t="s">
        <v>134</v>
      </c>
      <c r="D20" s="1">
        <v>270</v>
      </c>
    </row>
    <row r="21" spans="1:4">
      <c r="A21" s="1">
        <v>4603</v>
      </c>
      <c r="B21" s="1">
        <v>46</v>
      </c>
      <c r="C21" s="1" t="s">
        <v>134</v>
      </c>
      <c r="D21" s="1">
        <v>270</v>
      </c>
    </row>
    <row r="22" spans="1:4">
      <c r="A22" s="1">
        <v>4604</v>
      </c>
      <c r="B22" s="1">
        <v>46</v>
      </c>
      <c r="C22" s="1" t="s">
        <v>134</v>
      </c>
      <c r="D22" s="1">
        <v>270</v>
      </c>
    </row>
    <row r="23" spans="1:4">
      <c r="A23" s="1">
        <v>4605</v>
      </c>
      <c r="B23" s="1">
        <v>46</v>
      </c>
      <c r="C23" s="1" t="s">
        <v>134</v>
      </c>
      <c r="D23" s="1">
        <v>270</v>
      </c>
    </row>
    <row r="24" spans="1:4">
      <c r="A24" s="1">
        <v>4606</v>
      </c>
      <c r="B24" s="1">
        <v>46</v>
      </c>
      <c r="C24" s="1" t="s">
        <v>134</v>
      </c>
      <c r="D24" s="1">
        <v>270</v>
      </c>
    </row>
    <row r="25" spans="1:4">
      <c r="A25" s="1">
        <v>4607</v>
      </c>
      <c r="B25" s="1">
        <v>46</v>
      </c>
      <c r="C25" s="1" t="s">
        <v>134</v>
      </c>
      <c r="D25" s="1">
        <v>270</v>
      </c>
    </row>
    <row r="26" spans="1:4">
      <c r="A26" s="1">
        <v>4608</v>
      </c>
      <c r="B26" s="1">
        <v>46</v>
      </c>
      <c r="C26" s="1" t="s">
        <v>134</v>
      </c>
      <c r="D26" s="1">
        <v>270</v>
      </c>
    </row>
    <row r="27" spans="1:4">
      <c r="A27" s="1">
        <v>4609</v>
      </c>
      <c r="B27" s="1">
        <v>46</v>
      </c>
      <c r="C27" s="1" t="s">
        <v>134</v>
      </c>
      <c r="D27" s="1">
        <v>270</v>
      </c>
    </row>
    <row r="28" spans="1:4">
      <c r="A28" s="1">
        <v>4610</v>
      </c>
      <c r="B28" s="1">
        <v>46</v>
      </c>
      <c r="C28" s="1" t="s">
        <v>134</v>
      </c>
      <c r="D28" s="1">
        <v>270</v>
      </c>
    </row>
    <row r="29" spans="1:4">
      <c r="A29" s="1">
        <v>4801</v>
      </c>
      <c r="B29" s="1">
        <v>48</v>
      </c>
      <c r="C29" s="1" t="s">
        <v>135</v>
      </c>
      <c r="D29" s="1">
        <v>360</v>
      </c>
    </row>
    <row r="30" spans="1:4">
      <c r="A30" s="1">
        <v>4802</v>
      </c>
      <c r="B30" s="1">
        <v>48</v>
      </c>
      <c r="C30" s="1" t="s">
        <v>135</v>
      </c>
      <c r="D30" s="1">
        <v>360</v>
      </c>
    </row>
    <row r="31" spans="1:4">
      <c r="A31" s="1">
        <v>4803</v>
      </c>
      <c r="B31" s="1">
        <v>48</v>
      </c>
      <c r="C31" s="1" t="s">
        <v>135</v>
      </c>
      <c r="D31" s="1">
        <v>360</v>
      </c>
    </row>
    <row r="32" spans="1:4">
      <c r="A32" s="1">
        <v>4804</v>
      </c>
      <c r="B32" s="1">
        <v>48</v>
      </c>
      <c r="C32" s="1" t="s">
        <v>135</v>
      </c>
      <c r="D32" s="1">
        <v>360</v>
      </c>
    </row>
    <row r="33" spans="1:4">
      <c r="A33" s="1">
        <v>4805</v>
      </c>
      <c r="B33" s="1">
        <v>48</v>
      </c>
      <c r="C33" s="1" t="s">
        <v>135</v>
      </c>
      <c r="D33" s="1">
        <v>360</v>
      </c>
    </row>
    <row r="34" spans="1:4">
      <c r="A34" s="1">
        <v>4806</v>
      </c>
      <c r="B34" s="1">
        <v>48</v>
      </c>
      <c r="C34" s="1" t="s">
        <v>135</v>
      </c>
      <c r="D34" s="1">
        <v>360</v>
      </c>
    </row>
    <row r="35" spans="1:4">
      <c r="A35" s="1">
        <v>4807</v>
      </c>
      <c r="B35" s="1">
        <v>48</v>
      </c>
      <c r="C35" s="1" t="s">
        <v>135</v>
      </c>
      <c r="D35" s="1">
        <v>360</v>
      </c>
    </row>
    <row r="36" spans="1:4">
      <c r="A36" s="1">
        <v>4808</v>
      </c>
      <c r="B36" s="1">
        <v>48</v>
      </c>
      <c r="C36" s="1" t="s">
        <v>135</v>
      </c>
      <c r="D36" s="1">
        <v>360</v>
      </c>
    </row>
    <row r="37" spans="1:4">
      <c r="A37" s="1">
        <v>4809</v>
      </c>
      <c r="B37" s="1">
        <v>48</v>
      </c>
      <c r="C37" s="1" t="s">
        <v>135</v>
      </c>
      <c r="D37" s="1">
        <v>360</v>
      </c>
    </row>
    <row r="38" spans="1:4">
      <c r="A38" s="1">
        <v>4810</v>
      </c>
      <c r="B38" s="1">
        <v>48</v>
      </c>
      <c r="C38" s="1" t="s">
        <v>135</v>
      </c>
      <c r="D38" s="1">
        <v>360</v>
      </c>
    </row>
    <row r="39" spans="1:4">
      <c r="A39" s="1">
        <v>4811</v>
      </c>
      <c r="B39" s="1">
        <v>48</v>
      </c>
      <c r="C39" s="1" t="s">
        <v>135</v>
      </c>
      <c r="D39" s="1">
        <v>360</v>
      </c>
    </row>
    <row r="40" spans="1:4">
      <c r="A40" s="1">
        <v>4812</v>
      </c>
      <c r="B40" s="1">
        <v>48</v>
      </c>
      <c r="C40" s="1" t="s">
        <v>135</v>
      </c>
      <c r="D40" s="1">
        <v>360</v>
      </c>
    </row>
    <row r="41" spans="1:4">
      <c r="A41" s="1">
        <v>4813</v>
      </c>
      <c r="B41" s="1">
        <v>48</v>
      </c>
      <c r="C41" s="1" t="s">
        <v>135</v>
      </c>
      <c r="D41" s="1">
        <v>360</v>
      </c>
    </row>
    <row r="42" spans="1:4">
      <c r="A42" s="1">
        <v>4814</v>
      </c>
      <c r="B42" s="1">
        <v>48</v>
      </c>
      <c r="C42" s="1" t="s">
        <v>135</v>
      </c>
      <c r="D42" s="1">
        <v>360</v>
      </c>
    </row>
    <row r="43" spans="1:4">
      <c r="A43" s="1">
        <v>4815</v>
      </c>
      <c r="B43" s="1">
        <v>48</v>
      </c>
      <c r="C43" s="1" t="s">
        <v>135</v>
      </c>
      <c r="D43" s="1">
        <v>360</v>
      </c>
    </row>
    <row r="44" spans="1:4">
      <c r="A44" s="1">
        <v>4816</v>
      </c>
      <c r="B44" s="1">
        <v>48</v>
      </c>
      <c r="C44" s="1" t="s">
        <v>135</v>
      </c>
      <c r="D44" s="1">
        <v>360</v>
      </c>
    </row>
    <row r="45" spans="1:4">
      <c r="A45" s="1">
        <v>4817</v>
      </c>
      <c r="B45" s="1">
        <v>48</v>
      </c>
      <c r="C45" s="1" t="s">
        <v>135</v>
      </c>
      <c r="D45" s="1">
        <v>360</v>
      </c>
    </row>
    <row r="46" spans="1:4">
      <c r="A46" s="1">
        <v>4818</v>
      </c>
      <c r="B46" s="1">
        <v>48</v>
      </c>
      <c r="C46" s="1" t="s">
        <v>135</v>
      </c>
      <c r="D46" s="1">
        <v>360</v>
      </c>
    </row>
    <row r="47" spans="1:4">
      <c r="A47" s="1">
        <v>4819</v>
      </c>
      <c r="B47" s="1">
        <v>48</v>
      </c>
      <c r="C47" s="1" t="s">
        <v>135</v>
      </c>
      <c r="D47" s="1">
        <v>360</v>
      </c>
    </row>
    <row r="48" spans="1:4">
      <c r="A48" s="1">
        <v>4820</v>
      </c>
      <c r="B48" s="1">
        <v>48</v>
      </c>
      <c r="C48" s="1" t="s">
        <v>135</v>
      </c>
      <c r="D48" s="1">
        <v>360</v>
      </c>
    </row>
    <row r="49" spans="1:4">
      <c r="A49" s="1">
        <v>4821</v>
      </c>
      <c r="B49" s="1">
        <v>48</v>
      </c>
      <c r="C49" s="1" t="s">
        <v>135</v>
      </c>
      <c r="D49" s="1">
        <v>360</v>
      </c>
    </row>
    <row r="50" spans="1:4">
      <c r="A50" s="1">
        <v>4822</v>
      </c>
      <c r="B50" s="1">
        <v>48</v>
      </c>
      <c r="C50" s="1" t="s">
        <v>135</v>
      </c>
      <c r="D50" s="1">
        <v>360</v>
      </c>
    </row>
    <row r="51" spans="1:4">
      <c r="A51" s="1">
        <v>4823</v>
      </c>
      <c r="B51" s="1">
        <v>48</v>
      </c>
      <c r="C51" s="1" t="s">
        <v>135</v>
      </c>
      <c r="D51" s="1">
        <v>360</v>
      </c>
    </row>
    <row r="52" spans="1:4">
      <c r="A52" s="1">
        <v>4824</v>
      </c>
      <c r="B52" s="1">
        <v>48</v>
      </c>
      <c r="C52" s="1" t="s">
        <v>135</v>
      </c>
      <c r="D52" s="1">
        <v>360</v>
      </c>
    </row>
    <row r="53" spans="1:4">
      <c r="A53" s="1">
        <v>4825</v>
      </c>
      <c r="B53" s="1">
        <v>48</v>
      </c>
      <c r="C53" s="1" t="s">
        <v>135</v>
      </c>
      <c r="D53" s="1">
        <v>360</v>
      </c>
    </row>
    <row r="54" spans="1:4">
      <c r="A54" s="1">
        <v>4826</v>
      </c>
      <c r="B54" s="1">
        <v>48</v>
      </c>
      <c r="C54" s="1" t="s">
        <v>135</v>
      </c>
      <c r="D54" s="1">
        <v>360</v>
      </c>
    </row>
    <row r="55" spans="1:4">
      <c r="A55" s="1">
        <v>4827</v>
      </c>
      <c r="B55" s="1">
        <v>48</v>
      </c>
      <c r="C55" s="1" t="s">
        <v>135</v>
      </c>
      <c r="D55" s="1">
        <v>360</v>
      </c>
    </row>
    <row r="56" spans="1:4">
      <c r="A56" s="1">
        <v>4828</v>
      </c>
      <c r="B56" s="1">
        <v>48</v>
      </c>
      <c r="C56" s="1" t="s">
        <v>135</v>
      </c>
      <c r="D56" s="1">
        <v>360</v>
      </c>
    </row>
    <row r="57" spans="1:4">
      <c r="A57" s="1">
        <v>4829</v>
      </c>
      <c r="B57" s="1">
        <v>48</v>
      </c>
      <c r="C57" s="1" t="s">
        <v>135</v>
      </c>
      <c r="D57" s="1">
        <v>360</v>
      </c>
    </row>
    <row r="58" spans="1:4">
      <c r="A58" s="1">
        <v>4830</v>
      </c>
      <c r="B58" s="1">
        <v>48</v>
      </c>
      <c r="C58" s="1" t="s">
        <v>135</v>
      </c>
      <c r="D58" s="1">
        <v>360</v>
      </c>
    </row>
    <row r="59" spans="1:4">
      <c r="A59" s="1">
        <v>4831</v>
      </c>
      <c r="B59" s="1">
        <v>48</v>
      </c>
      <c r="C59" s="1" t="s">
        <v>135</v>
      </c>
      <c r="D59" s="1">
        <v>360</v>
      </c>
    </row>
    <row r="60" spans="1:4">
      <c r="A60" s="1">
        <v>4832</v>
      </c>
      <c r="B60" s="1">
        <v>48</v>
      </c>
      <c r="C60" s="1" t="s">
        <v>135</v>
      </c>
      <c r="D60" s="1">
        <v>360</v>
      </c>
    </row>
    <row r="61" spans="1:4">
      <c r="A61" s="1">
        <v>4833</v>
      </c>
      <c r="B61" s="1">
        <v>48</v>
      </c>
      <c r="C61" s="1" t="s">
        <v>135</v>
      </c>
      <c r="D61" s="1">
        <v>360</v>
      </c>
    </row>
    <row r="62" spans="1:4">
      <c r="A62" s="1">
        <v>4834</v>
      </c>
      <c r="B62" s="1">
        <v>48</v>
      </c>
      <c r="C62" s="1" t="s">
        <v>135</v>
      </c>
      <c r="D62" s="1">
        <v>360</v>
      </c>
    </row>
    <row r="63" spans="1:4">
      <c r="A63" s="1">
        <v>4835</v>
      </c>
      <c r="B63" s="1">
        <v>48</v>
      </c>
      <c r="C63" s="1" t="s">
        <v>135</v>
      </c>
      <c r="D63" s="1">
        <v>360</v>
      </c>
    </row>
    <row r="64" spans="1:4">
      <c r="A64" s="1">
        <v>4836</v>
      </c>
      <c r="B64" s="1">
        <v>48</v>
      </c>
      <c r="C64" s="1" t="s">
        <v>135</v>
      </c>
      <c r="D64" s="1">
        <v>360</v>
      </c>
    </row>
    <row r="65" spans="1:4">
      <c r="A65" s="1">
        <v>4837</v>
      </c>
      <c r="B65" s="1">
        <v>48</v>
      </c>
      <c r="C65" s="1" t="s">
        <v>135</v>
      </c>
      <c r="D65" s="1">
        <v>360</v>
      </c>
    </row>
    <row r="66" spans="1:4">
      <c r="A66" s="1">
        <v>4838</v>
      </c>
      <c r="B66" s="1">
        <v>48</v>
      </c>
      <c r="C66" s="1" t="s">
        <v>135</v>
      </c>
      <c r="D66" s="1">
        <v>360</v>
      </c>
    </row>
    <row r="67" spans="1:4">
      <c r="A67" s="1">
        <v>4839</v>
      </c>
      <c r="B67" s="1">
        <v>48</v>
      </c>
      <c r="C67" s="1" t="s">
        <v>135</v>
      </c>
      <c r="D67" s="1">
        <v>360</v>
      </c>
    </row>
    <row r="68" spans="1:4">
      <c r="A68" s="1">
        <v>4840</v>
      </c>
      <c r="B68" s="1">
        <v>48</v>
      </c>
      <c r="C68" s="1" t="s">
        <v>135</v>
      </c>
      <c r="D68" s="1">
        <v>360</v>
      </c>
    </row>
    <row r="69" spans="1:4">
      <c r="A69" s="1">
        <v>4841</v>
      </c>
      <c r="B69" s="1">
        <v>48</v>
      </c>
      <c r="C69" s="1" t="s">
        <v>135</v>
      </c>
      <c r="D69" s="1">
        <v>360</v>
      </c>
    </row>
    <row r="70" spans="1:4">
      <c r="A70" s="1">
        <v>4842</v>
      </c>
      <c r="B70" s="1">
        <v>48</v>
      </c>
      <c r="C70" s="1" t="s">
        <v>135</v>
      </c>
      <c r="D70" s="1">
        <v>360</v>
      </c>
    </row>
    <row r="71" spans="1:4">
      <c r="A71" s="1">
        <v>4843</v>
      </c>
      <c r="B71" s="1">
        <v>48</v>
      </c>
      <c r="C71" s="1" t="s">
        <v>135</v>
      </c>
      <c r="D71" s="1">
        <v>360</v>
      </c>
    </row>
    <row r="72" spans="1:4">
      <c r="A72" s="1">
        <v>4844</v>
      </c>
      <c r="B72" s="1">
        <v>48</v>
      </c>
      <c r="C72" s="1" t="s">
        <v>135</v>
      </c>
      <c r="D72" s="1">
        <v>360</v>
      </c>
    </row>
    <row r="73" spans="1:4">
      <c r="A73" s="1">
        <v>4845</v>
      </c>
      <c r="B73" s="1">
        <v>48</v>
      </c>
      <c r="C73" s="1" t="s">
        <v>135</v>
      </c>
      <c r="D73" s="1">
        <v>360</v>
      </c>
    </row>
    <row r="74" spans="1:4">
      <c r="A74" s="1">
        <v>4846</v>
      </c>
      <c r="B74" s="1">
        <v>48</v>
      </c>
      <c r="C74" s="1" t="s">
        <v>135</v>
      </c>
      <c r="D74" s="1">
        <v>360</v>
      </c>
    </row>
    <row r="75" spans="1:4">
      <c r="A75" s="1">
        <v>4847</v>
      </c>
      <c r="B75" s="1">
        <v>48</v>
      </c>
      <c r="C75" s="1" t="s">
        <v>135</v>
      </c>
      <c r="D75" s="1">
        <v>360</v>
      </c>
    </row>
    <row r="76" spans="1:4">
      <c r="A76" s="1">
        <v>4848</v>
      </c>
      <c r="B76" s="1">
        <v>48</v>
      </c>
      <c r="C76" s="1" t="s">
        <v>135</v>
      </c>
      <c r="D76" s="1">
        <v>360</v>
      </c>
    </row>
    <row r="77" spans="1:4">
      <c r="A77" s="1">
        <v>4849</v>
      </c>
      <c r="B77" s="1">
        <v>48</v>
      </c>
      <c r="C77" s="1" t="s">
        <v>135</v>
      </c>
      <c r="D77" s="1">
        <v>360</v>
      </c>
    </row>
    <row r="78" spans="1:4">
      <c r="A78" s="1">
        <v>4850</v>
      </c>
      <c r="B78" s="1">
        <v>48</v>
      </c>
      <c r="C78" s="1" t="s">
        <v>135</v>
      </c>
      <c r="D78" s="1">
        <v>360</v>
      </c>
    </row>
    <row r="79" spans="1:4">
      <c r="A79" s="1">
        <v>4851</v>
      </c>
      <c r="B79" s="1">
        <v>48</v>
      </c>
      <c r="C79" s="1" t="s">
        <v>135</v>
      </c>
      <c r="D79" s="1">
        <v>360</v>
      </c>
    </row>
    <row r="80" spans="1:4">
      <c r="A80" s="1">
        <v>4852</v>
      </c>
      <c r="B80" s="1">
        <v>48</v>
      </c>
      <c r="C80" s="1" t="s">
        <v>135</v>
      </c>
      <c r="D80" s="1">
        <v>360</v>
      </c>
    </row>
    <row r="81" spans="1:4">
      <c r="A81" s="1">
        <v>4853</v>
      </c>
      <c r="B81" s="1">
        <v>48</v>
      </c>
      <c r="C81" s="1" t="s">
        <v>135</v>
      </c>
      <c r="D81" s="1">
        <v>360</v>
      </c>
    </row>
    <row r="82" spans="1:4">
      <c r="A82" s="1">
        <v>5201</v>
      </c>
      <c r="B82" s="1">
        <v>52</v>
      </c>
      <c r="C82" s="1" t="s">
        <v>136</v>
      </c>
      <c r="D82" s="1">
        <v>420</v>
      </c>
    </row>
    <row r="83" spans="1:4">
      <c r="A83" s="1">
        <v>5202</v>
      </c>
      <c r="B83" s="1">
        <v>52</v>
      </c>
      <c r="C83" s="1" t="s">
        <v>136</v>
      </c>
      <c r="D83" s="1">
        <v>420</v>
      </c>
    </row>
    <row r="84" spans="1:4">
      <c r="A84" s="1">
        <v>5203</v>
      </c>
      <c r="B84" s="1">
        <v>52</v>
      </c>
      <c r="C84" s="1" t="s">
        <v>136</v>
      </c>
      <c r="D84" s="1">
        <v>420</v>
      </c>
    </row>
    <row r="85" spans="1:4">
      <c r="A85" s="1">
        <v>5204</v>
      </c>
      <c r="B85" s="1">
        <v>52</v>
      </c>
      <c r="C85" s="1" t="s">
        <v>136</v>
      </c>
      <c r="D85" s="1">
        <v>420</v>
      </c>
    </row>
    <row r="86" spans="1:4">
      <c r="A86" s="1">
        <v>5205</v>
      </c>
      <c r="B86" s="1">
        <v>52</v>
      </c>
      <c r="C86" s="1" t="s">
        <v>136</v>
      </c>
      <c r="D86" s="1">
        <v>420</v>
      </c>
    </row>
    <row r="87" spans="1:4">
      <c r="A87" s="1">
        <v>5206</v>
      </c>
      <c r="B87" s="1">
        <v>52</v>
      </c>
      <c r="C87" s="1" t="s">
        <v>136</v>
      </c>
      <c r="D87" s="1">
        <v>420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1"/>
  <sheetViews>
    <sheetView workbookViewId="0">
      <selection activeCell="G16" sqref="G16"/>
    </sheetView>
  </sheetViews>
  <sheetFormatPr defaultColWidth="9" defaultRowHeight="14.4" outlineLevelCol="1"/>
  <cols>
    <col min="1" max="1" width="10.6666666666667" customWidth="1"/>
    <col min="2" max="2" width="22.3333333333333" customWidth="1"/>
  </cols>
  <sheetData>
    <row r="1" spans="1:2">
      <c r="A1" s="1" t="s">
        <v>137</v>
      </c>
      <c r="B1" s="1" t="s">
        <v>138</v>
      </c>
    </row>
    <row r="2" spans="1:2">
      <c r="A2" s="1">
        <v>5401</v>
      </c>
      <c r="B2" s="1">
        <v>361</v>
      </c>
    </row>
    <row r="3" spans="1:2">
      <c r="A3" s="1">
        <v>5402</v>
      </c>
      <c r="B3" s="1">
        <v>361</v>
      </c>
    </row>
    <row r="4" spans="1:2">
      <c r="A4" s="1">
        <v>5403</v>
      </c>
      <c r="B4" s="1">
        <v>361</v>
      </c>
    </row>
    <row r="5" spans="1:2">
      <c r="A5" s="1">
        <v>5404</v>
      </c>
      <c r="B5" s="1">
        <v>361</v>
      </c>
    </row>
    <row r="6" spans="1:2">
      <c r="A6" s="1">
        <v>5405</v>
      </c>
      <c r="B6" s="1">
        <v>361</v>
      </c>
    </row>
    <row r="7" spans="1:2">
      <c r="A7" s="1">
        <v>5406</v>
      </c>
      <c r="B7" s="1">
        <v>361</v>
      </c>
    </row>
    <row r="8" spans="1:2">
      <c r="A8" s="1">
        <v>5407</v>
      </c>
      <c r="B8" s="1">
        <v>361</v>
      </c>
    </row>
    <row r="9" spans="1:2">
      <c r="A9" s="1">
        <v>5408</v>
      </c>
      <c r="B9" s="1">
        <v>361</v>
      </c>
    </row>
    <row r="10" spans="1:2">
      <c r="A10" s="1">
        <v>5409</v>
      </c>
      <c r="B10" s="1">
        <v>361</v>
      </c>
    </row>
    <row r="11" spans="1:2">
      <c r="A11" s="1">
        <v>5410</v>
      </c>
      <c r="B11" s="1">
        <v>361</v>
      </c>
    </row>
    <row r="12" spans="1:2">
      <c r="A12" s="1">
        <v>5411</v>
      </c>
      <c r="B12" s="1">
        <v>361</v>
      </c>
    </row>
    <row r="13" spans="1:2">
      <c r="A13" s="1">
        <v>5412</v>
      </c>
      <c r="B13" s="1">
        <v>361</v>
      </c>
    </row>
    <row r="14" spans="1:2">
      <c r="A14" s="1">
        <v>5415</v>
      </c>
      <c r="B14" s="1">
        <v>361</v>
      </c>
    </row>
    <row r="15" spans="1:2">
      <c r="A15" s="1">
        <v>5416</v>
      </c>
      <c r="B15" s="1">
        <v>361</v>
      </c>
    </row>
    <row r="16" spans="1:2">
      <c r="A16" s="1">
        <v>5417</v>
      </c>
      <c r="B16" s="1">
        <v>361</v>
      </c>
    </row>
    <row r="17" spans="1:2">
      <c r="A17" s="1">
        <v>5418</v>
      </c>
      <c r="B17" s="1">
        <v>361</v>
      </c>
    </row>
    <row r="18" spans="1:2">
      <c r="A18" s="1">
        <v>5419</v>
      </c>
      <c r="B18" s="1">
        <v>361</v>
      </c>
    </row>
    <row r="19" spans="1:2">
      <c r="A19" s="1">
        <v>5420</v>
      </c>
      <c r="B19" s="1">
        <v>361</v>
      </c>
    </row>
    <row r="20" spans="1:2">
      <c r="A20" s="1">
        <v>5421</v>
      </c>
      <c r="B20" s="1">
        <v>361</v>
      </c>
    </row>
    <row r="21" spans="1:2">
      <c r="A21" s="1">
        <v>5422</v>
      </c>
      <c r="B21" s="1">
        <v>361</v>
      </c>
    </row>
    <row r="22" spans="1:2">
      <c r="A22" s="1">
        <v>5423</v>
      </c>
      <c r="B22" s="1">
        <v>361</v>
      </c>
    </row>
    <row r="23" spans="1:2">
      <c r="A23" s="1">
        <v>5424</v>
      </c>
      <c r="B23" s="1">
        <v>361</v>
      </c>
    </row>
    <row r="24" spans="1:2">
      <c r="A24" s="1">
        <v>5425</v>
      </c>
      <c r="B24" s="1">
        <v>361</v>
      </c>
    </row>
    <row r="25" spans="1:2">
      <c r="A25" s="1">
        <v>5426</v>
      </c>
      <c r="B25" s="1">
        <v>361</v>
      </c>
    </row>
    <row r="26" spans="1:2">
      <c r="A26" s="1">
        <v>5427</v>
      </c>
      <c r="B26" s="1">
        <v>361</v>
      </c>
    </row>
    <row r="27" spans="1:2">
      <c r="A27" s="1">
        <v>5428</v>
      </c>
      <c r="B27" s="1">
        <v>361</v>
      </c>
    </row>
    <row r="28" spans="1:2">
      <c r="A28" s="1">
        <v>5435</v>
      </c>
      <c r="B28" s="1">
        <v>361</v>
      </c>
    </row>
    <row r="29" spans="1:2">
      <c r="A29" s="1">
        <v>5436</v>
      </c>
      <c r="B29" s="1">
        <v>361</v>
      </c>
    </row>
    <row r="30" spans="1:2">
      <c r="A30" s="1">
        <v>5437</v>
      </c>
      <c r="B30" s="1">
        <v>361</v>
      </c>
    </row>
    <row r="31" spans="1:2">
      <c r="A31" s="1">
        <v>5438</v>
      </c>
      <c r="B31" s="1">
        <v>361</v>
      </c>
    </row>
    <row r="32" spans="1:2">
      <c r="A32" s="1">
        <v>5439</v>
      </c>
      <c r="B32" s="1">
        <v>361</v>
      </c>
    </row>
    <row r="33" spans="1:2">
      <c r="A33" s="1">
        <v>5440</v>
      </c>
      <c r="B33" s="1">
        <v>361</v>
      </c>
    </row>
    <row r="34" spans="1:2">
      <c r="A34" s="1">
        <v>5441</v>
      </c>
      <c r="B34" s="1">
        <v>361</v>
      </c>
    </row>
    <row r="35" spans="1:2">
      <c r="A35" s="1">
        <v>5442</v>
      </c>
      <c r="B35" s="1">
        <v>361</v>
      </c>
    </row>
    <row r="36" spans="1:2">
      <c r="A36" s="1">
        <v>5443</v>
      </c>
      <c r="B36" s="1">
        <v>361</v>
      </c>
    </row>
    <row r="37" spans="1:2">
      <c r="A37" s="1">
        <v>5444</v>
      </c>
      <c r="B37" s="1">
        <v>361</v>
      </c>
    </row>
    <row r="38" spans="1:2">
      <c r="A38" s="1">
        <v>5445</v>
      </c>
      <c r="B38" s="1">
        <v>361</v>
      </c>
    </row>
    <row r="39" spans="1:2">
      <c r="A39" s="1">
        <v>5446</v>
      </c>
      <c r="B39" s="1">
        <v>361</v>
      </c>
    </row>
    <row r="40" spans="1:2">
      <c r="A40" s="1">
        <v>5447</v>
      </c>
      <c r="B40" s="1">
        <v>361</v>
      </c>
    </row>
    <row r="41" spans="1:2">
      <c r="A41" s="1">
        <v>5448</v>
      </c>
      <c r="B41" s="1">
        <v>361</v>
      </c>
    </row>
    <row r="42" spans="1:2">
      <c r="A42" s="1">
        <v>5449</v>
      </c>
      <c r="B42" s="1">
        <v>361</v>
      </c>
    </row>
    <row r="43" spans="1:2">
      <c r="A43" s="1">
        <v>5450</v>
      </c>
      <c r="B43" s="1">
        <v>361</v>
      </c>
    </row>
    <row r="44" spans="1:2">
      <c r="A44" s="1">
        <v>5463</v>
      </c>
      <c r="B44" s="1">
        <v>361</v>
      </c>
    </row>
    <row r="45" spans="1:2">
      <c r="A45" s="1">
        <v>5464</v>
      </c>
      <c r="B45" s="1">
        <v>361</v>
      </c>
    </row>
    <row r="46" spans="1:2">
      <c r="A46" s="1">
        <v>5465</v>
      </c>
      <c r="B46" s="1">
        <v>361</v>
      </c>
    </row>
    <row r="47" spans="1:2">
      <c r="A47" s="1">
        <v>5466</v>
      </c>
      <c r="B47" s="1">
        <v>361</v>
      </c>
    </row>
    <row r="48" spans="1:2">
      <c r="A48" s="1">
        <v>5467</v>
      </c>
      <c r="B48" s="1">
        <v>361</v>
      </c>
    </row>
    <row r="49" spans="1:2">
      <c r="A49" s="1">
        <v>5468</v>
      </c>
      <c r="B49" s="1">
        <v>361</v>
      </c>
    </row>
    <row r="50" spans="1:2">
      <c r="A50" s="1">
        <v>5451</v>
      </c>
      <c r="B50" s="1">
        <v>361</v>
      </c>
    </row>
    <row r="51" spans="1:2">
      <c r="A51" s="1">
        <v>5452</v>
      </c>
      <c r="B51" s="1">
        <v>361</v>
      </c>
    </row>
    <row r="52" spans="1:2">
      <c r="A52" s="1">
        <v>5453</v>
      </c>
      <c r="B52" s="1">
        <v>361</v>
      </c>
    </row>
    <row r="53" spans="1:2">
      <c r="A53" s="1">
        <v>5454</v>
      </c>
      <c r="B53" s="1">
        <v>361</v>
      </c>
    </row>
    <row r="54" spans="1:2">
      <c r="A54" s="1">
        <v>5455</v>
      </c>
      <c r="B54" s="1">
        <v>361</v>
      </c>
    </row>
    <row r="55" spans="1:2">
      <c r="A55" s="1">
        <v>5456</v>
      </c>
      <c r="B55" s="1">
        <v>361</v>
      </c>
    </row>
    <row r="56" spans="1:2">
      <c r="A56" s="1">
        <v>5429</v>
      </c>
      <c r="B56" s="1">
        <v>361</v>
      </c>
    </row>
    <row r="57" spans="1:2">
      <c r="A57" s="1">
        <v>5430</v>
      </c>
      <c r="B57" s="1">
        <v>361</v>
      </c>
    </row>
    <row r="58" spans="1:2">
      <c r="A58" s="1">
        <v>5431</v>
      </c>
      <c r="B58" s="1">
        <v>361</v>
      </c>
    </row>
    <row r="59" spans="1:2">
      <c r="A59" s="1">
        <v>5432</v>
      </c>
      <c r="B59" s="1">
        <v>361</v>
      </c>
    </row>
    <row r="60" spans="1:2">
      <c r="A60" s="1">
        <v>5433</v>
      </c>
      <c r="B60" s="1">
        <v>361</v>
      </c>
    </row>
    <row r="61" spans="1:2">
      <c r="A61" s="1">
        <v>5434</v>
      </c>
      <c r="B61" s="1">
        <v>361</v>
      </c>
    </row>
    <row r="62" spans="1:2">
      <c r="A62" s="1">
        <v>5457</v>
      </c>
      <c r="B62" s="1">
        <v>361</v>
      </c>
    </row>
    <row r="63" spans="1:2">
      <c r="A63" s="1">
        <v>5458</v>
      </c>
      <c r="B63" s="1">
        <v>361</v>
      </c>
    </row>
    <row r="64" spans="1:2">
      <c r="A64" s="1">
        <v>5459</v>
      </c>
      <c r="B64" s="1">
        <v>361</v>
      </c>
    </row>
    <row r="65" spans="1:2">
      <c r="A65" s="1">
        <v>5460</v>
      </c>
      <c r="B65" s="1">
        <v>361</v>
      </c>
    </row>
    <row r="66" spans="1:2">
      <c r="A66" s="1">
        <v>5461</v>
      </c>
      <c r="B66" s="1">
        <v>361</v>
      </c>
    </row>
    <row r="67" spans="1:2">
      <c r="A67" s="1">
        <v>5462</v>
      </c>
      <c r="B67" s="1">
        <v>361</v>
      </c>
    </row>
    <row r="68" spans="1:2">
      <c r="A68" s="1">
        <v>5471</v>
      </c>
      <c r="B68" s="1">
        <v>361</v>
      </c>
    </row>
    <row r="69" spans="1:2">
      <c r="A69" s="1">
        <v>5472</v>
      </c>
      <c r="B69" s="1">
        <v>361</v>
      </c>
    </row>
    <row r="70" spans="1:2">
      <c r="A70" s="1">
        <v>5473</v>
      </c>
      <c r="B70" s="1">
        <v>361</v>
      </c>
    </row>
    <row r="71" spans="1:2">
      <c r="A71" s="1">
        <v>5474</v>
      </c>
      <c r="B71" s="1">
        <v>361</v>
      </c>
    </row>
    <row r="72" spans="1:2">
      <c r="A72" s="1">
        <v>5475</v>
      </c>
      <c r="B72" s="1">
        <v>361</v>
      </c>
    </row>
    <row r="73" spans="1:2">
      <c r="A73" s="1">
        <v>5476</v>
      </c>
      <c r="B73" s="1">
        <v>361</v>
      </c>
    </row>
    <row r="74" spans="1:2">
      <c r="A74" s="1">
        <v>5477</v>
      </c>
      <c r="B74" s="1">
        <v>361</v>
      </c>
    </row>
    <row r="75" spans="1:2">
      <c r="A75" s="1">
        <v>5478</v>
      </c>
      <c r="B75" s="1">
        <v>361</v>
      </c>
    </row>
    <row r="76" spans="1:2">
      <c r="A76" s="1">
        <v>5479</v>
      </c>
      <c r="B76" s="1">
        <v>361</v>
      </c>
    </row>
    <row r="77" spans="1:2">
      <c r="A77" s="1">
        <v>5480</v>
      </c>
      <c r="B77" s="1">
        <v>361</v>
      </c>
    </row>
    <row r="78" spans="1:2">
      <c r="A78" s="1">
        <v>5481</v>
      </c>
      <c r="B78" s="1">
        <v>361</v>
      </c>
    </row>
    <row r="79" spans="1:2">
      <c r="A79" s="1">
        <v>5482</v>
      </c>
      <c r="B79" s="1">
        <v>361</v>
      </c>
    </row>
    <row r="80" spans="1:2">
      <c r="A80" s="1">
        <v>5483</v>
      </c>
      <c r="B80" s="1">
        <v>361</v>
      </c>
    </row>
    <row r="81" spans="1:2">
      <c r="A81" s="1">
        <v>5484</v>
      </c>
      <c r="B81" s="1">
        <v>361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D89FC7B8-4F3F-4BCB-998B-163F553BABF7}">
  <ds:schemaRefs/>
</ds:datastoreItem>
</file>

<file path=customXml/itemProps2.xml><?xml version="1.0" encoding="utf-8"?>
<ds:datastoreItem xmlns:ds="http://schemas.openxmlformats.org/officeDocument/2006/customXml" ds:itemID="{8F012645-BC45-4400-B1E6-DADAB5CD022A}">
  <ds:schemaRefs/>
</ds:datastoreItem>
</file>

<file path=customXml/itemProps3.xml><?xml version="1.0" encoding="utf-8"?>
<ds:datastoreItem xmlns:ds="http://schemas.openxmlformats.org/officeDocument/2006/customXml" ds:itemID="{172006B6-4079-4F28-8778-DEEA8A4FA380}">
  <ds:schemaRefs/>
</ds:datastoreItem>
</file>

<file path=customXml/itemProps4.xml><?xml version="1.0" encoding="utf-8"?>
<ds:datastoreItem xmlns:ds="http://schemas.openxmlformats.org/officeDocument/2006/customXml" ds:itemID="{FD5DA8CD-89F8-4CB4-A6F6-7D71253A90F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Change_set up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Vardhan V.</dc:creator>
  <cp:keywords>INTERNAL</cp:keywords>
  <cp:lastModifiedBy>ANDROID GAMER</cp:lastModifiedBy>
  <dcterms:created xsi:type="dcterms:W3CDTF">2022-06-01T09:43:00Z</dcterms:created>
  <dcterms:modified xsi:type="dcterms:W3CDTF">2026-08-17T07:21:02Z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0x0101000F2598ACC80DA6469323BF12BDA2E861</vt:lpwstr>
  </property>
  <property fmtid="{D5CDD505-2E9C-101B-9397-08002B2CF9AE}" pid="3" name="KlassifyGUID">
    <vt:lpwstr>6e793db6-acda-4c7c-9f7b-908755f085b0</vt:lpwstr>
  </property>
  <property fmtid="{D5CDD505-2E9C-101B-9397-08002B2CF9AE}" pid="4" name="Classification">
    <vt:lpwstr>INTERNAL</vt:lpwstr>
  </property>
  <property fmtid="{D5CDD505-2E9C-101B-9397-08002B2CF9AE}" pid="5" name="KID">
    <vt:lpwstr>F8EDFC6E6437639039840718740016</vt:lpwstr>
  </property>
  <property fmtid="{D5CDD505-2E9C-101B-9397-08002B2CF9AE}" pid="6" name="ICV">
    <vt:lpwstr>91F7F73157C0490E83C96C5C0DD31C4C_12</vt:lpwstr>
  </property>
  <property fmtid="{D5CDD505-2E9C-101B-9397-08002B2CF9AE}" pid="7" name="KSOProductBuildVer">
    <vt:lpwstr>1033-12.2.0.23206</vt:lpwstr>
  </property>
</Properties>
</file>