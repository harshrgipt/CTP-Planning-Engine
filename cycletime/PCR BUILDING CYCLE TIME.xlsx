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1"/>
  <workbookPr/>
  <mc:AlternateContent xmlns:mc="http://schemas.openxmlformats.org/markup-compatibility/2006">
    <mc:Choice Requires="x15">
      <x15ac:absPath xmlns:x15ac="http://schemas.microsoft.com/office/spreadsheetml/2010/11/ac" url="https://prithvialgo.sharepoint.com/sites/Algo8JKCTP-Algo8_ProductionPlanningandScheduling/Shared Documents/Algo8_Production Planning and Scheduling/Product management/CTP/Building/"/>
    </mc:Choice>
  </mc:AlternateContent>
  <xr:revisionPtr revIDLastSave="96" documentId="8_{4C317E23-E649-40CA-B90C-6A003F18AC0C}" xr6:coauthVersionLast="47" xr6:coauthVersionMax="47" xr10:uidLastSave="{E824024B-016F-4000-BDB8-63202FE70655}"/>
  <bookViews>
    <workbookView xWindow="-108" yWindow="-108" windowWidth="23256" windowHeight="12456" xr2:uid="{4F4749BC-79FC-41E6-AF31-693FC154FA68}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1" hidden="1">Sheet2!$A$1:$C$262</definedName>
    <definedName name="_xlnm._FilterDatabase" localSheetId="0" hidden="1">Sheet1!$A$1:$O$244</definedName>
    <definedName name="Category">[1]Reference!$E$3:$E$15</definedName>
    <definedName name="CONST_TABLE">[1]Reference!$I$3:$I$19</definedName>
    <definedName name="TYPE">[1]Reference!$BE$15:$BE$16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E3" i="2"/>
  <c r="E4" i="2"/>
  <c r="E5" i="2"/>
  <c r="E6" i="2"/>
  <c r="E7" i="2"/>
  <c r="E2" i="2"/>
</calcChain>
</file>

<file path=xl/sharedStrings.xml><?xml version="1.0" encoding="utf-8"?>
<sst xmlns="http://schemas.openxmlformats.org/spreadsheetml/2006/main" count="2910" uniqueCount="1095">
  <si>
    <t>GT Code</t>
  </si>
  <si>
    <t>Product Code</t>
  </si>
  <si>
    <t>Category</t>
  </si>
  <si>
    <t>GT code</t>
  </si>
  <si>
    <t>Description</t>
  </si>
  <si>
    <t>INCH</t>
  </si>
  <si>
    <t>Module Matrix</t>
  </si>
  <si>
    <t>Actual Cycle Time CONTI</t>
  </si>
  <si>
    <t>Actual Cycle Time BJ</t>
  </si>
  <si>
    <t>Norms CT CONTI</t>
  </si>
  <si>
    <t>Norms CT BJ</t>
  </si>
  <si>
    <t>CONTI</t>
  </si>
  <si>
    <t>BJ</t>
  </si>
  <si>
    <t>Cont Min</t>
  </si>
  <si>
    <t>BJ Min</t>
  </si>
  <si>
    <t xml:space="preserve">2868 RAN XAT </t>
  </si>
  <si>
    <t>CHECK TYRE</t>
  </si>
  <si>
    <t xml:space="preserve">GT 2868 RAN XAT </t>
  </si>
  <si>
    <t>1402 XPC TATA</t>
  </si>
  <si>
    <t>1D25214012008QXPCT</t>
  </si>
  <si>
    <t>REGULAR</t>
  </si>
  <si>
    <t>GT 1402 XPC TATA</t>
  </si>
  <si>
    <t>145 R12 ULTIMA XPC TL TATA</t>
  </si>
  <si>
    <t>12</t>
  </si>
  <si>
    <t>1412 XPC MM</t>
  </si>
  <si>
    <t>1D25114012008QXPC0</t>
  </si>
  <si>
    <t>GT 1412 XPC MM</t>
  </si>
  <si>
    <t>145 R12 ULTIMA XPC</t>
  </si>
  <si>
    <t>1422 MAX</t>
  </si>
  <si>
    <t>1325214812074TTMX0</t>
  </si>
  <si>
    <t>Gate 2</t>
  </si>
  <si>
    <t>GT 1422 MAX</t>
  </si>
  <si>
    <t>145/80 R12 TAXIMAX</t>
  </si>
  <si>
    <t>1432 NXT</t>
  </si>
  <si>
    <t>1325114612069TUNX0</t>
  </si>
  <si>
    <t>GT 1432 NXT</t>
  </si>
  <si>
    <t>145/70R12 ULTIMA NXT TT</t>
  </si>
  <si>
    <t>1442 UHL</t>
  </si>
  <si>
    <t>1325214612069TUHL0</t>
  </si>
  <si>
    <t>GT 1442 UHL</t>
  </si>
  <si>
    <t>145/70 R12 ULTIMA HI LIFE</t>
  </si>
  <si>
    <t>1452 XPC MM</t>
  </si>
  <si>
    <t>1D25214012008QXPCM</t>
  </si>
  <si>
    <t>GT 1452 XPC MM</t>
  </si>
  <si>
    <t>145 R12 ULTIMA XPC M&amp;M</t>
  </si>
  <si>
    <t>1462 NXT</t>
  </si>
  <si>
    <t>1325114812074TUNX0</t>
  </si>
  <si>
    <t>GT 1462 NXT</t>
  </si>
  <si>
    <t>145/80R12 ULTIMA NXT TT</t>
  </si>
  <si>
    <t>1472 NXT</t>
  </si>
  <si>
    <t>1325214612069TUNX0</t>
  </si>
  <si>
    <t>GT 1472 NXT</t>
  </si>
  <si>
    <t>145/70R12 ULTIMA NXT TL</t>
  </si>
  <si>
    <t>1482 NXT</t>
  </si>
  <si>
    <t>1325214812074TUNX0</t>
  </si>
  <si>
    <t>GT 1482 NXT</t>
  </si>
  <si>
    <t>145/80R12 ULTIMA NXT TL</t>
  </si>
  <si>
    <t>1482 UHL</t>
  </si>
  <si>
    <t>1325214812074TUHL0</t>
  </si>
  <si>
    <t>Gate 3</t>
  </si>
  <si>
    <t>GT 1482 UHL</t>
  </si>
  <si>
    <t>145/80 R 12 ULTIMA HI LIFE TL</t>
  </si>
  <si>
    <t>1492 NEO HYU</t>
  </si>
  <si>
    <t>1325214812074TUNE1</t>
  </si>
  <si>
    <t>GT1492 NEO</t>
  </si>
  <si>
    <t>145/80 R12 ULTIMA NEO</t>
  </si>
  <si>
    <t>1492 UHL</t>
  </si>
  <si>
    <t>1325114812074TUHL0</t>
  </si>
  <si>
    <t>GT 1492 UHL</t>
  </si>
  <si>
    <t>145/80 R 12 Ultima HI LIFE TT</t>
  </si>
  <si>
    <t>1502 XPC1</t>
  </si>
  <si>
    <t>1D25115Z12008RXC10</t>
  </si>
  <si>
    <t>GT 1502 XPC1</t>
  </si>
  <si>
    <t>155 R12 ULTIMA XPC1 TT</t>
  </si>
  <si>
    <t>1512 XPC1</t>
  </si>
  <si>
    <t>1225215Z12008RXC10</t>
  </si>
  <si>
    <t>GT 1512 XPC1</t>
  </si>
  <si>
    <t>155 R12 ULTIMA XPC1</t>
  </si>
  <si>
    <t>1672 SPT</t>
  </si>
  <si>
    <t>1325216612077TUSP0</t>
  </si>
  <si>
    <t>GT 1672 SPT</t>
  </si>
  <si>
    <t>165/70R12 ULTIMA SPORTS</t>
  </si>
  <si>
    <t>1772 NEO</t>
  </si>
  <si>
    <t>1325217612080HUNE0</t>
  </si>
  <si>
    <t>GT 1772 NEO</t>
  </si>
  <si>
    <t>175/70 R12 ULTIMA NEO</t>
  </si>
  <si>
    <t xml:space="preserve"> 1422 XPC MSIL</t>
  </si>
  <si>
    <t>1D25214012008QXPC0</t>
  </si>
  <si>
    <t>GT 1422 XPC MSIL</t>
  </si>
  <si>
    <t>145 R12 ULTIMA XPC TL MSIL</t>
  </si>
  <si>
    <t>1433 NXT</t>
  </si>
  <si>
    <t>1325114613071TUNX0</t>
  </si>
  <si>
    <t>OBSOLETE</t>
  </si>
  <si>
    <t>GT1457013UNXT</t>
  </si>
  <si>
    <t>145/70R13 ULTIMA NXT TT</t>
  </si>
  <si>
    <t>13</t>
  </si>
  <si>
    <t>1453 MAX</t>
  </si>
  <si>
    <t>1325214813075STMX0</t>
  </si>
  <si>
    <t>GT 1453 MAX</t>
  </si>
  <si>
    <t>145/80 R13 TAXIMAX</t>
  </si>
  <si>
    <t>1473 NXT</t>
  </si>
  <si>
    <t>1325214613071TUNX0</t>
  </si>
  <si>
    <t>GT1457013UNXTTL2S</t>
  </si>
  <si>
    <t>145/70R13 ULTIMA NXT TL</t>
  </si>
  <si>
    <t>1483 UHL</t>
  </si>
  <si>
    <t>1325214813075SUHL0</t>
  </si>
  <si>
    <t>GT 1483 UHL</t>
  </si>
  <si>
    <t>145/80 R13 ULTIMA HI LIFE</t>
  </si>
  <si>
    <t>1493 EZO TOU</t>
  </si>
  <si>
    <t>1325214813075SETR0</t>
  </si>
  <si>
    <t>GT 1493 EZO TOU</t>
  </si>
  <si>
    <t>145/80 R13 ELANZO TOURING</t>
  </si>
  <si>
    <t>1503 NEO MSIL</t>
  </si>
  <si>
    <t>1325215813079TUNE3</t>
  </si>
  <si>
    <t>GT 1503 NEO MSIL</t>
  </si>
  <si>
    <t>155/80 R13 ULTIMA NEO MSIL</t>
  </si>
  <si>
    <t>1513 NEO</t>
  </si>
  <si>
    <t>1325215513073TUNE0</t>
  </si>
  <si>
    <t>GT1513 NEO</t>
  </si>
  <si>
    <t>155/65 R 13 ULTIMA NEO</t>
  </si>
  <si>
    <t>1513 XPC1 MSIL</t>
  </si>
  <si>
    <t>1D25215013008SXC10</t>
  </si>
  <si>
    <t>GT 1513 XPC1 MSIL</t>
  </si>
  <si>
    <t>155 R13 C ULTIMA XPC1 90/89 S TL (MSIL)</t>
  </si>
  <si>
    <t>1523 NXT</t>
  </si>
  <si>
    <t>1325115613075TUNX0</t>
  </si>
  <si>
    <t>GT1557013UNXTL2S</t>
  </si>
  <si>
    <t>155/70R13 ULTIMA NXT TL</t>
  </si>
  <si>
    <t>1523 UHL</t>
  </si>
  <si>
    <t>1325215613075TUHL0</t>
  </si>
  <si>
    <t>GT 1523 UHL</t>
  </si>
  <si>
    <t>155/70 R13 ULTIMA HI LIFE TL</t>
  </si>
  <si>
    <t>1533 NEO TATA</t>
  </si>
  <si>
    <t>1325215813079TUNE2</t>
  </si>
  <si>
    <t>GT 1533 NEO TATA</t>
  </si>
  <si>
    <t>155/80 R13 ULTIMA NEO TATA</t>
  </si>
  <si>
    <t>1543 NEO</t>
  </si>
  <si>
    <t>1325215613075TUNE1</t>
  </si>
  <si>
    <t>GT1543 NEO</t>
  </si>
  <si>
    <t>155/70 R13 ULTIMA NEO</t>
  </si>
  <si>
    <t>1543 XPC1</t>
  </si>
  <si>
    <t>1D25215013008SXC1T</t>
  </si>
  <si>
    <t>GT 1543 XPC1</t>
  </si>
  <si>
    <t>155 R13 ULTIMA XPC1 TML</t>
  </si>
  <si>
    <t>1553 MAX</t>
  </si>
  <si>
    <t>1325215813079TTMX0</t>
  </si>
  <si>
    <t>GT 1553 MAX</t>
  </si>
  <si>
    <t>155/80 R13 TAXIMAX</t>
  </si>
  <si>
    <t>1573 NXT</t>
  </si>
  <si>
    <t>1325215613075TUNX0</t>
  </si>
  <si>
    <t>1583 NEO TATA</t>
  </si>
  <si>
    <t>1325215813079TUNE5</t>
  </si>
  <si>
    <t>GT 1583 NEO TATA</t>
  </si>
  <si>
    <t>155/80 R13 ULTIMA NEO LRR</t>
  </si>
  <si>
    <t>1583 VEC NISSAN</t>
  </si>
  <si>
    <t>1325215813079SVECO</t>
  </si>
  <si>
    <t>GT 1583 VEC NISSAN</t>
  </si>
  <si>
    <t>155/80R13 VECTRA NISSAN</t>
  </si>
  <si>
    <t>1593 NEO</t>
  </si>
  <si>
    <t>1325215813079TUNE0</t>
  </si>
  <si>
    <t>GT1593 NEO</t>
  </si>
  <si>
    <t>155/80 R13 ULTIMA NEO</t>
  </si>
  <si>
    <t>1593 NEO TATA</t>
  </si>
  <si>
    <t>1325215813083TUNE0</t>
  </si>
  <si>
    <t>Gate 1</t>
  </si>
  <si>
    <t>GT 1593 NEO TATA</t>
  </si>
  <si>
    <t>155/80 R13 ULTIMA NEO TML 83 T</t>
  </si>
  <si>
    <t>1623 UHL</t>
  </si>
  <si>
    <t>1325216513077TUHL0</t>
  </si>
  <si>
    <t>GT 1623 UHL</t>
  </si>
  <si>
    <t>165/65 R13 ULTIMA HI LIFE</t>
  </si>
  <si>
    <t>1673 NEO</t>
  </si>
  <si>
    <t>1325216613079HUNE0</t>
  </si>
  <si>
    <t>GT 1673 NEO</t>
  </si>
  <si>
    <t>165/70 R13 ULTIMA NEO</t>
  </si>
  <si>
    <t>1713 NEO EXP</t>
  </si>
  <si>
    <t>1325217613082TUNE1</t>
  </si>
  <si>
    <t>GT 1713 NEO EXP</t>
  </si>
  <si>
    <t>175/70 R13 ULTIMA NEO (Export)</t>
  </si>
  <si>
    <t>1773 NEO</t>
  </si>
  <si>
    <t>1325217613082TUNE0</t>
  </si>
  <si>
    <t>GT 1773 NEO</t>
  </si>
  <si>
    <t>175/70 R13 ULTIMA NEO</t>
  </si>
  <si>
    <t>1873 NEO</t>
  </si>
  <si>
    <t>1325218613086HUNE0</t>
  </si>
  <si>
    <t>GT 1873 NEO</t>
  </si>
  <si>
    <t>185/70 R13 ULTIMA NEO</t>
  </si>
  <si>
    <t>1564 NEO</t>
  </si>
  <si>
    <t>1325215514075TUNE0</t>
  </si>
  <si>
    <t>GT1564 NEO</t>
  </si>
  <si>
    <t>155/65 R14 ULTIMA NEO</t>
  </si>
  <si>
    <t>14</t>
  </si>
  <si>
    <t>1604 UXT</t>
  </si>
  <si>
    <t>1325216514079TUTR0</t>
  </si>
  <si>
    <t>GT 1604 UXT</t>
  </si>
  <si>
    <t>165/65 R14 UX TOURING</t>
  </si>
  <si>
    <t>1614 XPC AL</t>
  </si>
  <si>
    <t>1D25216814008QXPCA</t>
  </si>
  <si>
    <t>GT 1614 XPC AL</t>
  </si>
  <si>
    <t>165 R14 ULTIMA XPC TL AL</t>
  </si>
  <si>
    <t>1614 XPC NISSAN</t>
  </si>
  <si>
    <t>1325216814008QXPC0</t>
  </si>
  <si>
    <t>GT 1614 XPC NISSAN</t>
  </si>
  <si>
    <t>165R14 ULTIMA XPC</t>
  </si>
  <si>
    <t>1624 XPC TATA</t>
  </si>
  <si>
    <t>1D25116814008QXPC0</t>
  </si>
  <si>
    <t>GT 1624 XPC</t>
  </si>
  <si>
    <t>165 R14 ULTIMA XPC TATA</t>
  </si>
  <si>
    <t>1634 XPC TATA</t>
  </si>
  <si>
    <t>1D25216814008QXPC0</t>
  </si>
  <si>
    <t>GT 1634 XPC TATA</t>
  </si>
  <si>
    <t>165 R14 ULTIMA XPC TATA TL</t>
  </si>
  <si>
    <t>1644 MAX</t>
  </si>
  <si>
    <t>1325216514079TTMX0</t>
  </si>
  <si>
    <t>GT 1644 MAX</t>
  </si>
  <si>
    <t>165/65 R14 TAXIMAX</t>
  </si>
  <si>
    <t>1654 UXT</t>
  </si>
  <si>
    <t>1325216814085SUTR0</t>
  </si>
  <si>
    <t>GT 1654 UXT</t>
  </si>
  <si>
    <t>165/80 R14 UX TOURING</t>
  </si>
  <si>
    <t>1664 SPT</t>
  </si>
  <si>
    <t>1325216514079SUSP0</t>
  </si>
  <si>
    <t>GT 1664 SPT</t>
  </si>
  <si>
    <t>165/65R14 ULTIMA SPORTS</t>
  </si>
  <si>
    <t>1674 MAX</t>
  </si>
  <si>
    <t>1325216614081STMX0</t>
  </si>
  <si>
    <t>GT 1674 MAX</t>
  </si>
  <si>
    <t>165/70 R14 TAXIMAX</t>
  </si>
  <si>
    <t>1684 MAX</t>
  </si>
  <si>
    <t>1325216814085STMX0</t>
  </si>
  <si>
    <t>GT 1684 MAX</t>
  </si>
  <si>
    <t>1684 ROYL</t>
  </si>
  <si>
    <t>1325216814085TURL2</t>
  </si>
  <si>
    <t>GT 1684 ROYL</t>
  </si>
  <si>
    <t>165/80 R 14 UX ROYALE</t>
  </si>
  <si>
    <t>1684 SPT</t>
  </si>
  <si>
    <t>1325216814085TUSP0</t>
  </si>
  <si>
    <t>GT 1684 SPT</t>
  </si>
  <si>
    <t>165/80 R14 ULTIMA SPORT</t>
  </si>
  <si>
    <t>1684 TOR MARUTI</t>
  </si>
  <si>
    <t>1325216814085STOR0</t>
  </si>
  <si>
    <t>GT 1684 TOR MARUTI</t>
  </si>
  <si>
    <t>165/80R14 TORNADO MARUTHI</t>
  </si>
  <si>
    <t>1694 UXT</t>
  </si>
  <si>
    <t>1325216614081SUTR0</t>
  </si>
  <si>
    <t>GT 1694 UXT</t>
  </si>
  <si>
    <t>165/70 R14 UX TOURING</t>
  </si>
  <si>
    <t>1714 XPC GM</t>
  </si>
  <si>
    <t>1325217614095QXPC0</t>
  </si>
  <si>
    <t>GT 1714 XPC GM</t>
  </si>
  <si>
    <t>175/70R14C ULTIMA XPC</t>
  </si>
  <si>
    <t>1724 UXT</t>
  </si>
  <si>
    <t>1325217514082TUTR0</t>
  </si>
  <si>
    <t>GT 1724 UXT</t>
  </si>
  <si>
    <t>175/65 R14 UX TOURING</t>
  </si>
  <si>
    <t>1754 VEC HONDA</t>
  </si>
  <si>
    <t>1325217514082HVEC0</t>
  </si>
  <si>
    <t>GT 1754 VEC TL</t>
  </si>
  <si>
    <t>175/65 R14 VECTRA</t>
  </si>
  <si>
    <t>1774 VEC</t>
  </si>
  <si>
    <t>1325217614084TVECE</t>
  </si>
  <si>
    <t>GT 1774 VEC</t>
  </si>
  <si>
    <t>175/70R14 VECTRA</t>
  </si>
  <si>
    <t>1784 VEC</t>
  </si>
  <si>
    <t>1325217614084TTORE</t>
  </si>
  <si>
    <t>GT 1784 VEC</t>
  </si>
  <si>
    <t>175/70 R14 84T TL TORNEL VECTRA +</t>
  </si>
  <si>
    <t>1804 XPC TT</t>
  </si>
  <si>
    <t>1D25118Z14008QXPC0</t>
  </si>
  <si>
    <t>GT 1804 XPC TT</t>
  </si>
  <si>
    <t>185 R 14 ULTIMA XPC TT</t>
  </si>
  <si>
    <t>1814 LT</t>
  </si>
  <si>
    <t>1D25218Z14008QXPC0</t>
  </si>
  <si>
    <t>GT1814 XPC</t>
  </si>
  <si>
    <t>185 R14 ULTIMA XPC</t>
  </si>
  <si>
    <t>1824 XPC1</t>
  </si>
  <si>
    <t>1D25218Z14008RXC10</t>
  </si>
  <si>
    <t>GT1824 XPC1</t>
  </si>
  <si>
    <t>185 R14 ULTIMA XPC1</t>
  </si>
  <si>
    <t>1834 VEC EXP</t>
  </si>
  <si>
    <t>1325218614088TVECE</t>
  </si>
  <si>
    <t>GT 1834 VEC EXP</t>
  </si>
  <si>
    <t>185/70 R14 VECTRA EXPORT</t>
  </si>
  <si>
    <t>1844 UXT</t>
  </si>
  <si>
    <t>1325218514086HUTR0</t>
  </si>
  <si>
    <t>GT 1844 UXT</t>
  </si>
  <si>
    <t>185/65 R14 UX TOURING</t>
  </si>
  <si>
    <t>1844 VEC NISSAN</t>
  </si>
  <si>
    <t>1325218614088SVEC0</t>
  </si>
  <si>
    <t>GT 1844 VEC NISSAN</t>
  </si>
  <si>
    <t>185/70R14 VECTRA NISSAN</t>
  </si>
  <si>
    <t>1844 XPC TML</t>
  </si>
  <si>
    <t>1D25218014010RXPCT</t>
  </si>
  <si>
    <t>GT 1844 XPC TML</t>
  </si>
  <si>
    <t>185 R14 ULTIMA XPC 10 PR TT</t>
  </si>
  <si>
    <t>1854 ROYL</t>
  </si>
  <si>
    <t>1325218514086HURL0</t>
  </si>
  <si>
    <t>GT 1854 ROYL</t>
  </si>
  <si>
    <t>185/65 R14 UX ROYALE</t>
  </si>
  <si>
    <t>1854 XPC TT</t>
  </si>
  <si>
    <t>1D25118014010RXPC0</t>
  </si>
  <si>
    <t>GT 1854 XPC TT</t>
  </si>
  <si>
    <t>1864 SPT</t>
  </si>
  <si>
    <t>1325218514086HUSPE</t>
  </si>
  <si>
    <t>GT 1864 SPT</t>
  </si>
  <si>
    <t>185/65 R14 ULTIMA SPORT</t>
  </si>
  <si>
    <t>1874 VEC MM</t>
  </si>
  <si>
    <t>1325218614088TVEC0</t>
  </si>
  <si>
    <t>GT 1874 VEC MM</t>
  </si>
  <si>
    <t>185/70 R14 VECTRA MAHINDRA</t>
  </si>
  <si>
    <t>1884 ROYL</t>
  </si>
  <si>
    <t>1325218614088HURL0</t>
  </si>
  <si>
    <t>GT 1884 ROYL</t>
  </si>
  <si>
    <t>185/70 R14 UX ROYALE</t>
  </si>
  <si>
    <t>1894 MAX</t>
  </si>
  <si>
    <t>1325218614088TTMX0</t>
  </si>
  <si>
    <t>GT 1894 MAX</t>
  </si>
  <si>
    <t>185/70 R14 TAXIMAX</t>
  </si>
  <si>
    <t>1914 XPC1</t>
  </si>
  <si>
    <t>1D25219Z14008SXC10</t>
  </si>
  <si>
    <t>GT1914 XPC1</t>
  </si>
  <si>
    <t>195 R14 ULTIMA XPC1</t>
  </si>
  <si>
    <t>1924 XPC1</t>
  </si>
  <si>
    <t>1D25219Z14008SXC11</t>
  </si>
  <si>
    <t>GT 1924 XPC1</t>
  </si>
  <si>
    <t>195 R14 ULTIMA XPC1 (Dom)</t>
  </si>
  <si>
    <t>1964 SPT</t>
  </si>
  <si>
    <t>1325219414086HUSP0</t>
  </si>
  <si>
    <t>GT1964 SPT</t>
  </si>
  <si>
    <t>195/60 R14 ULTIMA SPORT</t>
  </si>
  <si>
    <t xml:space="preserve"> 1734 VEC HONDA</t>
  </si>
  <si>
    <t>1325217514082TVECH</t>
  </si>
  <si>
    <t>GT 1734 VEC HONDA</t>
  </si>
  <si>
    <t>175/65 R14 VECTRA HONDA</t>
  </si>
  <si>
    <t>1655 XPC</t>
  </si>
  <si>
    <t>1325216815087SXPC0</t>
  </si>
  <si>
    <t>GT16580R15XPCTL2S</t>
  </si>
  <si>
    <t>15</t>
  </si>
  <si>
    <t>1685 XPC</t>
  </si>
  <si>
    <t>1325116815087SXPC0</t>
  </si>
  <si>
    <t>GT 1685 XPC</t>
  </si>
  <si>
    <t>165/80R 15 ULTIMA XPC</t>
  </si>
  <si>
    <t>1715 UXT</t>
  </si>
  <si>
    <t>1325217415081HUTR0</t>
  </si>
  <si>
    <t>GT 1715 UXT</t>
  </si>
  <si>
    <t>175/60R15_UX TOURING_81H TL</t>
  </si>
  <si>
    <t>1765 ROYL</t>
  </si>
  <si>
    <t>1325217515084HURL2</t>
  </si>
  <si>
    <t>GT 1765 ROYL</t>
  </si>
  <si>
    <t>175/65 R15 UX ROYALE</t>
  </si>
  <si>
    <t>1805 VEC</t>
  </si>
  <si>
    <t>1325218515088TVEUE</t>
  </si>
  <si>
    <t>GT 1805 VEC</t>
  </si>
  <si>
    <t>185/65 R15 VECTRA 88T Export</t>
  </si>
  <si>
    <t>1825 UXT</t>
  </si>
  <si>
    <t>1325218415084TUTR0</t>
  </si>
  <si>
    <t>GT 1825 UXT</t>
  </si>
  <si>
    <t>185/60 R15 UX TOURING</t>
  </si>
  <si>
    <t>1835 UXT</t>
  </si>
  <si>
    <t>1325218515088HUTR0</t>
  </si>
  <si>
    <t>GT 1835 UXT</t>
  </si>
  <si>
    <t>185/65 R15 UX TOURING</t>
  </si>
  <si>
    <t>1855 ROYL HYU</t>
  </si>
  <si>
    <t>1325218515088HURL2</t>
  </si>
  <si>
    <t>GT 1855 ROYL HYU</t>
  </si>
  <si>
    <t>185/65 R15 UX ROYALE HYUNDAI 88 H</t>
  </si>
  <si>
    <t>1865 ROYL RENO</t>
  </si>
  <si>
    <t>1325218515088TURL1</t>
  </si>
  <si>
    <t>OE TRIALS</t>
  </si>
  <si>
    <t>GT 1865 ROYL RENO</t>
  </si>
  <si>
    <t>185/65 R15 UX ROYALE HYUNDAI</t>
  </si>
  <si>
    <t>1865 VEC NISSAN</t>
  </si>
  <si>
    <t>1325218515088TVEC0</t>
  </si>
  <si>
    <t>GT1856515VEC2STL</t>
  </si>
  <si>
    <t>185/65R15 VECTRA NISSAN</t>
  </si>
  <si>
    <t>1875 ALP</t>
  </si>
  <si>
    <t>1325218515088TUXA0</t>
  </si>
  <si>
    <t>GT 1875 ALP</t>
  </si>
  <si>
    <t>1885 MAX</t>
  </si>
  <si>
    <t>1325218515088HTMX0</t>
  </si>
  <si>
    <t>GT 1885 MAX</t>
  </si>
  <si>
    <t>185/65 R15 TAXIMAX</t>
  </si>
  <si>
    <t>1895 MAX</t>
  </si>
  <si>
    <t>1325218415084TTMX0</t>
  </si>
  <si>
    <t>GT 1895 MAX</t>
  </si>
  <si>
    <t>185/60 R15 TAXIMAX</t>
  </si>
  <si>
    <t>1905 XPC1</t>
  </si>
  <si>
    <t>1225119Z15008SXC10</t>
  </si>
  <si>
    <t>GT 1905 XPC1</t>
  </si>
  <si>
    <t>195 R15 ULTIMA XPC1 TT</t>
  </si>
  <si>
    <t>1915 XPC1</t>
  </si>
  <si>
    <t>1225219Z15008SXC10</t>
  </si>
  <si>
    <t>GT1915 LT XPC1</t>
  </si>
  <si>
    <t>195 R15 ULTIMA XPC1</t>
  </si>
  <si>
    <t>1925 XPC1</t>
  </si>
  <si>
    <t>1225219Z15008SXC11</t>
  </si>
  <si>
    <t>GT 1925 XPC1</t>
  </si>
  <si>
    <t>195 R15 ULTIMA XPC1 AL</t>
  </si>
  <si>
    <t>1935 UX1 EXP</t>
  </si>
  <si>
    <t>1325219315089VUX10</t>
  </si>
  <si>
    <t>GT 1935 UX1 EXP</t>
  </si>
  <si>
    <t>195/55R15 UX1 EXP</t>
  </si>
  <si>
    <t>1935 XPC1</t>
  </si>
  <si>
    <t>1225219015008SXC1N</t>
  </si>
  <si>
    <t>GT1935 LT XPC1</t>
  </si>
  <si>
    <t>1945 ALP</t>
  </si>
  <si>
    <t>1325219515091VUXA0</t>
  </si>
  <si>
    <t>GT 1945 ALP</t>
  </si>
  <si>
    <t>195/65R15 UX ALP</t>
  </si>
  <si>
    <t>1955 UX1</t>
  </si>
  <si>
    <t>1325219315085VUX10</t>
  </si>
  <si>
    <t>GT1955 UX1</t>
  </si>
  <si>
    <t>195/55 R15 UX1</t>
  </si>
  <si>
    <t>1965 ROYL</t>
  </si>
  <si>
    <t>1325219515091HURL3</t>
  </si>
  <si>
    <t>GT 1965 ROYL</t>
  </si>
  <si>
    <t>195/65 R 15 UX ROYALE 91 H</t>
  </si>
  <si>
    <t>1965 UX1</t>
  </si>
  <si>
    <t>1325219415088VUX10</t>
  </si>
  <si>
    <t>GT1965 UX1</t>
  </si>
  <si>
    <t>195/60 R15 UX1</t>
  </si>
  <si>
    <t>1975 UX1 EXP</t>
  </si>
  <si>
    <t>1325219415092VUX10</t>
  </si>
  <si>
    <t>GT 1975 UX1 EXP</t>
  </si>
  <si>
    <t>195/60 R15 UX1 EXP</t>
  </si>
  <si>
    <t>1985 ROYL</t>
  </si>
  <si>
    <t>1325219515091VURL0</t>
  </si>
  <si>
    <t>GT 1985 ROYL</t>
  </si>
  <si>
    <t>195/65 R15 UX ROYALE</t>
  </si>
  <si>
    <t>1985 UX1 XL</t>
  </si>
  <si>
    <t>1325219315089VUX1E</t>
  </si>
  <si>
    <t>GT 1985 UX1 XL</t>
  </si>
  <si>
    <t>1995 ROYL KIA</t>
  </si>
  <si>
    <t>1325219515091HURL2</t>
  </si>
  <si>
    <t>GT 1995 ROYL KIA</t>
  </si>
  <si>
    <t>195/65R15 UX ROYALE</t>
  </si>
  <si>
    <t>2015 RAN ATW</t>
  </si>
  <si>
    <t>1325221715100SRAT1</t>
  </si>
  <si>
    <t>GT 2015 RAN ATW</t>
  </si>
  <si>
    <t>215/75 R15 RANGER AT WSW</t>
  </si>
  <si>
    <t>2025 UX1 EXP</t>
  </si>
  <si>
    <t>1325220415095VUX10</t>
  </si>
  <si>
    <t>GT 2025 UX1 EXP</t>
  </si>
  <si>
    <t>205/60 R15 UX1 EXP</t>
  </si>
  <si>
    <t>2035 EZO TOU</t>
  </si>
  <si>
    <t>1325220515094VETR0</t>
  </si>
  <si>
    <t>GT 2035 EZO TOU</t>
  </si>
  <si>
    <t>205/65 R15 ELANZO TOURING TL</t>
  </si>
  <si>
    <t>2045 BLA HT</t>
  </si>
  <si>
    <t>1325221715100SBHT0</t>
  </si>
  <si>
    <t>GT 2045 BLA HT</t>
  </si>
  <si>
    <t>215/75 R15 BLAZZE HT</t>
  </si>
  <si>
    <t>2055 RAN HT</t>
  </si>
  <si>
    <t>1325221715100SRHT0</t>
  </si>
  <si>
    <t>GT 2055 RAN HT</t>
  </si>
  <si>
    <t>215/75 R15 RANGER HT- TRIAL</t>
  </si>
  <si>
    <t>2065 UX1</t>
  </si>
  <si>
    <t>1325220415091VUX10</t>
  </si>
  <si>
    <t>GT2065 UX1</t>
  </si>
  <si>
    <t>205/60 R15 UX1</t>
  </si>
  <si>
    <t>2075 RAN AT</t>
  </si>
  <si>
    <t>1225225615113SRAT0</t>
  </si>
  <si>
    <t>GT 2075 RAN AT</t>
  </si>
  <si>
    <t>255/70 R15 RANGER AT</t>
  </si>
  <si>
    <t>2115 RAN HTW</t>
  </si>
  <si>
    <t>1325221715100SRHT1</t>
  </si>
  <si>
    <t>GT 2115 RAN HTW</t>
  </si>
  <si>
    <t>215/75 R15 RANGER HT WSW</t>
  </si>
  <si>
    <t>2125 RAN AT</t>
  </si>
  <si>
    <t>1325221Z15113RRAT0</t>
  </si>
  <si>
    <t>GT 2125 RAN AT</t>
  </si>
  <si>
    <t>215 R15 RANGER AT</t>
  </si>
  <si>
    <t>2155 BRU</t>
  </si>
  <si>
    <t>1325121715100SBRU0</t>
  </si>
  <si>
    <t>GT 2155 BRU</t>
  </si>
  <si>
    <t>215/75R15 BRUTE PASSENGER</t>
  </si>
  <si>
    <t>2175 RAN HT</t>
  </si>
  <si>
    <t>1325221715100SRPG0</t>
  </si>
  <si>
    <t>GT 2175 RAN HT</t>
  </si>
  <si>
    <t>215/75 R15 RANGER HT PUNCTURE GUARD</t>
  </si>
  <si>
    <t>2275 RAN AT</t>
  </si>
  <si>
    <t>1325221615109SRAT0</t>
  </si>
  <si>
    <t>GT 2275 RAN A/T</t>
  </si>
  <si>
    <t>215/70 R15 RANGER AT</t>
  </si>
  <si>
    <t>2335 BLA XAT</t>
  </si>
  <si>
    <t>1325223715104RBXT0</t>
  </si>
  <si>
    <t>GT 2335 BLA XAT</t>
  </si>
  <si>
    <t>235/75 R15 BLAZZE X-A/T</t>
  </si>
  <si>
    <t>2355 BRU</t>
  </si>
  <si>
    <t>1325221715100SBRU0</t>
  </si>
  <si>
    <t>GT2355 BRU</t>
  </si>
  <si>
    <t>215/75 R15 BRUTE TL</t>
  </si>
  <si>
    <t>2375 RAN HT</t>
  </si>
  <si>
    <t>1325223715105TRHT0</t>
  </si>
  <si>
    <t>GT 2375 RAN HT</t>
  </si>
  <si>
    <t>235/75 R 15 RANGER HT</t>
  </si>
  <si>
    <t>2375 RAN MT</t>
  </si>
  <si>
    <t>1325223715104QRMT0</t>
  </si>
  <si>
    <t>GT 2375 RAN MT</t>
  </si>
  <si>
    <t>235/75 R 15 RANGER MT</t>
  </si>
  <si>
    <t>2455 RAN AT</t>
  </si>
  <si>
    <t>1325221715100SRAT0</t>
  </si>
  <si>
    <t>GT 2455 RAN A/T</t>
  </si>
  <si>
    <t>215/75 R15 RANGER AT</t>
  </si>
  <si>
    <t>2555 MAX</t>
  </si>
  <si>
    <t>1325220515094VTMX0</t>
  </si>
  <si>
    <t>GT 2555 MAX</t>
  </si>
  <si>
    <t>205/65 R15 TAXIMAX</t>
  </si>
  <si>
    <t>2565 UXT</t>
  </si>
  <si>
    <t>1325220515094VUTP0</t>
  </si>
  <si>
    <t>GT 2565 UXT</t>
  </si>
  <si>
    <t>205/65R15 UX TOURING PUNCTURE GUARD</t>
  </si>
  <si>
    <t>2575 RAN AT</t>
  </si>
  <si>
    <t>1325220615106SRAT0</t>
  </si>
  <si>
    <t>GT 2575 RAN A/T</t>
  </si>
  <si>
    <t>205/70 R15 C RANGER AT</t>
  </si>
  <si>
    <t>2755 BLA HT</t>
  </si>
  <si>
    <t>1325223715105TBHT0</t>
  </si>
  <si>
    <t>GT 2755 BLA HT</t>
  </si>
  <si>
    <t>235/75 R 15 BLAZZE HT</t>
  </si>
  <si>
    <t>2755 RAN BRT</t>
  </si>
  <si>
    <t>1325121715100SRBT0</t>
  </si>
  <si>
    <t>GT 2755 RAN BRT</t>
  </si>
  <si>
    <t>215/75 R15 RANGER BRT</t>
  </si>
  <si>
    <t>2775 RAN XAT</t>
  </si>
  <si>
    <t>1325223715104RRXT0</t>
  </si>
  <si>
    <t>GT 2775 RAN XAT</t>
  </si>
  <si>
    <t>235/75 R15 RANGER X-A/T</t>
  </si>
  <si>
    <t>3005 BLA XAT</t>
  </si>
  <si>
    <t>1325231015109RBXT0</t>
  </si>
  <si>
    <t>GT 3005 BLA XAT</t>
  </si>
  <si>
    <t>31X10.50R15 LT BLAZZE X-A/T</t>
  </si>
  <si>
    <t>3105 RAN XAT</t>
  </si>
  <si>
    <t>1325231015109RRXT0</t>
  </si>
  <si>
    <t>GT 3105 RAN XAT</t>
  </si>
  <si>
    <t>31X10.50 R15 RANGER X-A/T</t>
  </si>
  <si>
    <t>3115 RAN</t>
  </si>
  <si>
    <t>1325210015109QRAT0</t>
  </si>
  <si>
    <t>GT 3115 RAN</t>
  </si>
  <si>
    <t>31 X 10.5 R15 RANGER A/T</t>
  </si>
  <si>
    <t>3125 RAN MT</t>
  </si>
  <si>
    <t>1325231015109QRMT0</t>
  </si>
  <si>
    <t>GT 3125 RAN MT</t>
  </si>
  <si>
    <t>31X10.5 R15 RANGER MT</t>
  </si>
  <si>
    <t>3205 RAN XAT</t>
  </si>
  <si>
    <t>1325232015113RRXT0</t>
  </si>
  <si>
    <t>GT 3205 RAN XAT</t>
  </si>
  <si>
    <t>32X11.50 R15 LT RANGER X-A/T</t>
  </si>
  <si>
    <t>3215 BLA XAT</t>
  </si>
  <si>
    <t>1325232015113RBXT0</t>
  </si>
  <si>
    <t>GT 3215 BLA XAT</t>
  </si>
  <si>
    <t>32X11.50 R15 BLAZZE X-AT</t>
  </si>
  <si>
    <t>SUS 1765 ROYL</t>
  </si>
  <si>
    <t>1325217515084HURL5</t>
  </si>
  <si>
    <t>GT SUS 1765 ROYL</t>
  </si>
  <si>
    <t>175/65R15_UX ROYALE_84H_TL_SUST TYRE</t>
  </si>
  <si>
    <t xml:space="preserve"> 1815 ROYL MSIL</t>
  </si>
  <si>
    <t>1325218515088SURL0</t>
  </si>
  <si>
    <t>GT 1815 ROYL MSIL</t>
  </si>
  <si>
    <t>185/65 R15 UX ROYALE MSIL (YRA)</t>
  </si>
  <si>
    <t>2555 BRU</t>
  </si>
  <si>
    <t>1325221715102SBRU0</t>
  </si>
  <si>
    <t>GT2555 BRU</t>
  </si>
  <si>
    <t>215/75 R15 BRUTE 102S TATA TL</t>
  </si>
  <si>
    <t>1816 BRU OLD</t>
  </si>
  <si>
    <t>1425118916008QBRU0</t>
  </si>
  <si>
    <t>GT1858516BRT2S</t>
  </si>
  <si>
    <t>16</t>
  </si>
  <si>
    <t>1816 RAN BRT</t>
  </si>
  <si>
    <t>1425118916008QRBT0</t>
  </si>
  <si>
    <t>GT 1816 RAN BRT</t>
  </si>
  <si>
    <t>185/85 R16 RANGER BRT</t>
  </si>
  <si>
    <t>1856 ROYL</t>
  </si>
  <si>
    <t>1325218316083HURL0</t>
  </si>
  <si>
    <t>GT 1856 ROYL</t>
  </si>
  <si>
    <t>185/55 R16 UX ROYALE</t>
  </si>
  <si>
    <t>1886 BRU MM</t>
  </si>
  <si>
    <t>1425118916008QBRN0</t>
  </si>
  <si>
    <t>GT 1886 BRU MM</t>
  </si>
  <si>
    <t>185/85R16 BRUTE MAHINDRA</t>
  </si>
  <si>
    <t>1916 ROYL</t>
  </si>
  <si>
    <t>1325219416089HURL1</t>
  </si>
  <si>
    <t>GT 1916 ROYL</t>
  </si>
  <si>
    <t>195/60 R16 UX ROYALE</t>
  </si>
  <si>
    <t>1936 ROYL EXP</t>
  </si>
  <si>
    <t>1325219316087VURL0</t>
  </si>
  <si>
    <t>GT 1936 ROYL</t>
  </si>
  <si>
    <t>195/55 R16 UX ROYALE EXPORT</t>
  </si>
  <si>
    <t>1946 ROYL</t>
  </si>
  <si>
    <t>1325219316087VURP0</t>
  </si>
  <si>
    <t>GT1946 ROYL</t>
  </si>
  <si>
    <t>195/55 R16 UX ROYALE Puncture Guard</t>
  </si>
  <si>
    <t>1956 BLA HPE</t>
  </si>
  <si>
    <t>1325219416089VBHE0</t>
  </si>
  <si>
    <t>GT 1956 BLA HPE</t>
  </si>
  <si>
    <t>195/60 R16 BLAZZE HPE 89 V</t>
  </si>
  <si>
    <t>1956 UXT</t>
  </si>
  <si>
    <t>1325219316087HUTR0</t>
  </si>
  <si>
    <t>GT 1956 UXT</t>
  </si>
  <si>
    <t>195/55 R16 UX TOURING</t>
  </si>
  <si>
    <t>1956 VEC</t>
  </si>
  <si>
    <t>1325219316087HVEC1</t>
  </si>
  <si>
    <t>GT 1956 VEC</t>
  </si>
  <si>
    <t>195/55R16 VECTRA REP</t>
  </si>
  <si>
    <t>1966 RAN HPE</t>
  </si>
  <si>
    <t>1325219416089VRHE0</t>
  </si>
  <si>
    <t>GT 1966 RAN HPE</t>
  </si>
  <si>
    <t>195/60 R16 RANGER HPE 89 V</t>
  </si>
  <si>
    <t>2016 RAN ATW</t>
  </si>
  <si>
    <t>1325223616105TRAT1</t>
  </si>
  <si>
    <t>GT 2016 RAN ATW</t>
  </si>
  <si>
    <t>235/70 R16 105T RANGER AT WSW</t>
  </si>
  <si>
    <t>2026 UX1 EXP</t>
  </si>
  <si>
    <t>1325220316094VUX10</t>
  </si>
  <si>
    <t>GT 2026 UX1 EXP</t>
  </si>
  <si>
    <t>205/55 R16 UX1 EXP</t>
  </si>
  <si>
    <t>2046 ROYL EXP</t>
  </si>
  <si>
    <t>1325220416092VURL0</t>
  </si>
  <si>
    <t>GT2046 ROYL</t>
  </si>
  <si>
    <t>205/60 R16 UX ROYALE EXPORT</t>
  </si>
  <si>
    <t>2056 ROYL</t>
  </si>
  <si>
    <t>1325220516095HURP0</t>
  </si>
  <si>
    <t>GT 2056 ROYL</t>
  </si>
  <si>
    <t>205/65 R16 UX ROYALE PUNCTURE GUARD</t>
  </si>
  <si>
    <t>2056 UX1</t>
  </si>
  <si>
    <t>1325220316091VUX10</t>
  </si>
  <si>
    <t>GT2056 UX1</t>
  </si>
  <si>
    <t>205/55 R16 UX1</t>
  </si>
  <si>
    <t>2066 MAX</t>
  </si>
  <si>
    <t>1325220516095HTMX0</t>
  </si>
  <si>
    <t>GT 2066 MAX</t>
  </si>
  <si>
    <t>205/65 R16 TAXIMAX</t>
  </si>
  <si>
    <t>2066 NXT MARUTI</t>
  </si>
  <si>
    <t>1325220416092HENX0</t>
  </si>
  <si>
    <t>GT2056016ENXTTL</t>
  </si>
  <si>
    <t>205/60 R16 ELANZO NXT</t>
  </si>
  <si>
    <t>2076 RAN HT</t>
  </si>
  <si>
    <t>1325220416092HRHT0</t>
  </si>
  <si>
    <t>GT 2076 RAN HT</t>
  </si>
  <si>
    <t>205/60 R16 RANGER HT</t>
  </si>
  <si>
    <t>2096 UXT</t>
  </si>
  <si>
    <t>1325220516095HUTR0</t>
  </si>
  <si>
    <t>GT 2096 UXT</t>
  </si>
  <si>
    <t>205/65 R16 UX TOURING</t>
  </si>
  <si>
    <t>2096 UXT PG</t>
  </si>
  <si>
    <t>1325220516095HUTP0</t>
  </si>
  <si>
    <t>GT 2096 UXT PG</t>
  </si>
  <si>
    <t>205/65 R16 UX TOURING PUNCTURE GUARD 95 H</t>
  </si>
  <si>
    <t>2116 ROYL HYU</t>
  </si>
  <si>
    <t>1325220516095HURL4</t>
  </si>
  <si>
    <t>GT 2116 ROYL HYU</t>
  </si>
  <si>
    <t>205/65 R16 UX-ROYALE</t>
  </si>
  <si>
    <t>2126 ROYL</t>
  </si>
  <si>
    <t>1325221516098HURL0</t>
  </si>
  <si>
    <t>GT 2126 ROYL</t>
  </si>
  <si>
    <t>215/65 R16 UX ROYALE</t>
  </si>
  <si>
    <t>2136 ROYL KIA</t>
  </si>
  <si>
    <t>1325220516095HURL2</t>
  </si>
  <si>
    <t>GT 2136 ROYL KIA</t>
  </si>
  <si>
    <t>205/65 R16 UX ROYALE KIA</t>
  </si>
  <si>
    <t>2156 BLA HT</t>
  </si>
  <si>
    <t>1325221716101TBHT0</t>
  </si>
  <si>
    <t>GT 2156 BLA HT</t>
  </si>
  <si>
    <t>215/75 R16 BLAZZE HT</t>
  </si>
  <si>
    <t>2166 BLA HT</t>
  </si>
  <si>
    <t>1325221516098HBHT0</t>
  </si>
  <si>
    <t>GT2166 BLA HT</t>
  </si>
  <si>
    <t>215/65 R16 BLAZZE HT</t>
  </si>
  <si>
    <t>2166 RAN HPE</t>
  </si>
  <si>
    <t>1325221416095VRHE1</t>
  </si>
  <si>
    <t>GT 2166 RAN HPE</t>
  </si>
  <si>
    <t>215/60 R16 RANGER HPE</t>
  </si>
  <si>
    <t>2166 ROYL KIA</t>
  </si>
  <si>
    <t>1325221416095HURL2</t>
  </si>
  <si>
    <t>GT 2166 ROYL KIA</t>
  </si>
  <si>
    <t>215/60 R16 UX ROYALE 95 H</t>
  </si>
  <si>
    <t>2176 RAN HT</t>
  </si>
  <si>
    <t>1325221716101TRHT0</t>
  </si>
  <si>
    <t>GT2176 RAN HT</t>
  </si>
  <si>
    <t>215/75 R16 RANGER HT</t>
  </si>
  <si>
    <t>2216 RAN HT</t>
  </si>
  <si>
    <t>1325222416098HRHP0</t>
  </si>
  <si>
    <t>GT 2216 RAN HT</t>
  </si>
  <si>
    <t>225/60 R16 RANGER HT 98 H</t>
  </si>
  <si>
    <t>2226 LEVI</t>
  </si>
  <si>
    <t>1325222316099YLEVY</t>
  </si>
  <si>
    <t>GT 2226 LEVI</t>
  </si>
  <si>
    <t>225/55 R16 LEVITAS</t>
  </si>
  <si>
    <t>2256 ROYL</t>
  </si>
  <si>
    <t>1325222416098VURL0</t>
  </si>
  <si>
    <t>GT 2256 ROYL</t>
  </si>
  <si>
    <t>225/60 R16 UX ROYALE</t>
  </si>
  <si>
    <t>2266 RAN HT</t>
  </si>
  <si>
    <t>1325221516098HRHT0</t>
  </si>
  <si>
    <t>GT2266 RAN HT</t>
  </si>
  <si>
    <t>215/65 R16 RANGER HT</t>
  </si>
  <si>
    <t>2276 RAN HT</t>
  </si>
  <si>
    <t>1325227616114TRHT0</t>
  </si>
  <si>
    <t>GT 2276 RAN HT</t>
  </si>
  <si>
    <t>275/70 R16 RANGER HT</t>
  </si>
  <si>
    <t>2356 BLA HT</t>
  </si>
  <si>
    <t>1325223616105HBHT0</t>
  </si>
  <si>
    <t>GT 2356 BLA HT</t>
  </si>
  <si>
    <t>235/70 R16 BLAZZE HT</t>
  </si>
  <si>
    <t>2366 ROYL</t>
  </si>
  <si>
    <t>1325223516103TURL0</t>
  </si>
  <si>
    <t>GT 2366 ROYL</t>
  </si>
  <si>
    <t>235/65 R16 UX ROYALE</t>
  </si>
  <si>
    <t>2376 EZO MM</t>
  </si>
  <si>
    <t>1325223616105SELN0</t>
  </si>
  <si>
    <t>GT2357016ELATL2S</t>
  </si>
  <si>
    <t>235/70 R16 ELANZO</t>
  </si>
  <si>
    <t>2376 RAN XAT</t>
  </si>
  <si>
    <t>1325223616105TRXT0</t>
  </si>
  <si>
    <t>GT 2376 RAN XAT</t>
  </si>
  <si>
    <t>235/70 R 16 RANGER X-AT 105T</t>
  </si>
  <si>
    <t>2476 RAN HT2</t>
  </si>
  <si>
    <t>1325224716111SRHB0</t>
  </si>
  <si>
    <t>GT 2476 RAN HT2</t>
  </si>
  <si>
    <t>245/75 R16 RANGER HT2</t>
  </si>
  <si>
    <t>2476 RAN MT</t>
  </si>
  <si>
    <t>1325224716120NRMT0</t>
  </si>
  <si>
    <t>GT 2476 RAN MT</t>
  </si>
  <si>
    <t>245/75 R16 RANGER MT 120/116 N</t>
  </si>
  <si>
    <t>2476 SUP MM</t>
  </si>
  <si>
    <t>1325224716111SELS0</t>
  </si>
  <si>
    <t>GT 2476 SUP MM</t>
  </si>
  <si>
    <t>245/75 R16 ELANZO SUPRA</t>
  </si>
  <si>
    <t>2506 BLA HT</t>
  </si>
  <si>
    <t>1325220416092HBHT0</t>
  </si>
  <si>
    <t>GT 2506 BLA HT</t>
  </si>
  <si>
    <t>205/60 R16 BLAZZE HT</t>
  </si>
  <si>
    <t>2516 ROYL</t>
  </si>
  <si>
    <t>1325220516095HURL1</t>
  </si>
  <si>
    <t>GT 2516 ROYL</t>
  </si>
  <si>
    <t>205/65 R16 UX ROYALE - Dom/Exp</t>
  </si>
  <si>
    <t>2516 ROYLD1</t>
  </si>
  <si>
    <t>1325220516095HURL0</t>
  </si>
  <si>
    <t>GT 2516 ROYLD1</t>
  </si>
  <si>
    <t>2526 ROYL</t>
  </si>
  <si>
    <t>1325221416095VURL0</t>
  </si>
  <si>
    <t>GT 2526 ROYL</t>
  </si>
  <si>
    <t>215/60 R16 UX ROYALE</t>
  </si>
  <si>
    <t>2526 ROYL PG</t>
  </si>
  <si>
    <t>1325221416095VURP0</t>
  </si>
  <si>
    <t>GT 2526 ROYL PG</t>
  </si>
  <si>
    <t>215/60 R16 UX ROYALE PUNCTURE GUARD 95 V</t>
  </si>
  <si>
    <t>2556 ROYL</t>
  </si>
  <si>
    <t>1325220316091VURL0</t>
  </si>
  <si>
    <t>GT 2556 ROYL</t>
  </si>
  <si>
    <t>205/55R16 UX ROYALE</t>
  </si>
  <si>
    <t>2576 EZO TATA</t>
  </si>
  <si>
    <t>1325223616109SELZ0</t>
  </si>
  <si>
    <t>GT 2576 EZO TATA</t>
  </si>
  <si>
    <t>235/70R16 ELANZO REINFORCED TATA</t>
  </si>
  <si>
    <t>2616 BLA HT</t>
  </si>
  <si>
    <t>1325226716114TBHT0</t>
  </si>
  <si>
    <t>GT 2616 BLA HT</t>
  </si>
  <si>
    <t>265/75 R16 BLAZZE HT</t>
  </si>
  <si>
    <t>2656 BLA HT</t>
  </si>
  <si>
    <t>1325226616111TBHT0</t>
  </si>
  <si>
    <t>GT 2656 BLA HT</t>
  </si>
  <si>
    <t>265/70 R16 BLAZZE HT</t>
  </si>
  <si>
    <t>2666 RAN HT</t>
  </si>
  <si>
    <t>1325226616111TRHT0</t>
  </si>
  <si>
    <t>GT 2666 RAN HT</t>
  </si>
  <si>
    <t>265/70R16 RANGER HT</t>
  </si>
  <si>
    <t>2676 RAN HT</t>
  </si>
  <si>
    <t>1325223616105HRHT0</t>
  </si>
  <si>
    <t>GT2676 RAN HT</t>
  </si>
  <si>
    <t>235/70 R16 RANGER HT</t>
  </si>
  <si>
    <t>2676 RAN MT</t>
  </si>
  <si>
    <t>1325226716123KRMT0</t>
  </si>
  <si>
    <t>GT 2676 RAN MT</t>
  </si>
  <si>
    <t>265/75 R16 Ranger MT 123/120 K TL</t>
  </si>
  <si>
    <t>2716 BLA HT</t>
  </si>
  <si>
    <t>1325227616114TBHT0</t>
  </si>
  <si>
    <t>GT 2716 BLA HT</t>
  </si>
  <si>
    <t>275/70 R16 BLAZZE HT</t>
  </si>
  <si>
    <t>2756 RAN HT</t>
  </si>
  <si>
    <t>1325226716114TRHT0</t>
  </si>
  <si>
    <t>GT 2756 RAN HT</t>
  </si>
  <si>
    <t>265/75 R16 RANGER HT</t>
  </si>
  <si>
    <t>2776 RAN AT</t>
  </si>
  <si>
    <t>1325223616105TRAT0</t>
  </si>
  <si>
    <t>GT2776 RAN AT</t>
  </si>
  <si>
    <t>235/70 R16 105T RANGER AT</t>
  </si>
  <si>
    <t>2856 RAN MT</t>
  </si>
  <si>
    <t>1325223916120NRMT0</t>
  </si>
  <si>
    <t>GT 2856 RAN MT</t>
  </si>
  <si>
    <t>235/85 R16 Ranger MT 120/116N TL</t>
  </si>
  <si>
    <t>SUS 2156 ROYL</t>
  </si>
  <si>
    <t>1325221416095HURL3</t>
  </si>
  <si>
    <t>GT SUS 2156 ROYL</t>
  </si>
  <si>
    <t>215/60 R16 UX ROYALE-SUSTAINABLE TYRE</t>
  </si>
  <si>
    <t xml:space="preserve"> 1926 ROYL MSIL</t>
  </si>
  <si>
    <t>1325219316087HURL0</t>
  </si>
  <si>
    <t>GT 1926 ROYL MSIL</t>
  </si>
  <si>
    <t>195/55 R16 UX ROYALE MSIL</t>
  </si>
  <si>
    <t xml:space="preserve"> 2116 ALP</t>
  </si>
  <si>
    <t>1325220416092VUXA0</t>
  </si>
  <si>
    <t>GT 2116 ALP</t>
  </si>
  <si>
    <t>205/60 R16 UX ALP</t>
  </si>
  <si>
    <t>2017 RAN HTW</t>
  </si>
  <si>
    <t>1325223517104HRHT1</t>
  </si>
  <si>
    <t>GT 2017 RAN HTW</t>
  </si>
  <si>
    <t>235/65 R17 104H RANGER HT WSW</t>
  </si>
  <si>
    <t>17</t>
  </si>
  <si>
    <t>2047 ROYL HYU</t>
  </si>
  <si>
    <t>1325221317094VURL1</t>
  </si>
  <si>
    <t>GT 2047 ROYL HYU</t>
  </si>
  <si>
    <t>215/55 R17 UX ROYALE HYUNDAI</t>
  </si>
  <si>
    <t>2057 UX1</t>
  </si>
  <si>
    <t>1325221217095VUX10</t>
  </si>
  <si>
    <t>GT 2057 UX1</t>
  </si>
  <si>
    <t>215/50 R17 UX1</t>
  </si>
  <si>
    <t>2067 RAN HPE</t>
  </si>
  <si>
    <t>1325221417096HRHE1</t>
  </si>
  <si>
    <t>GT 2067 RAN HPE</t>
  </si>
  <si>
    <t>215/60 R17 RANGER HPE TML</t>
  </si>
  <si>
    <t>2117 RAN HTW</t>
  </si>
  <si>
    <t>1325226517112HRHT1</t>
  </si>
  <si>
    <t>GT 2117 RAN HTW</t>
  </si>
  <si>
    <t>265/65 R17 RANGER HT WSW</t>
  </si>
  <si>
    <t>2157 RAN HPE</t>
  </si>
  <si>
    <t>1325221317094VRHE0</t>
  </si>
  <si>
    <t>GT 2157 RAN HPE</t>
  </si>
  <si>
    <t>215/55 R17 RANGER HPE</t>
  </si>
  <si>
    <t>2157 ROYL KIA</t>
  </si>
  <si>
    <t>1325221317094VURL0</t>
  </si>
  <si>
    <t>GT 2157 ROYL KIA</t>
  </si>
  <si>
    <t>215/55R17  UX ROYALE 94 V</t>
  </si>
  <si>
    <t>2157 UX1</t>
  </si>
  <si>
    <t>1325221317098VUX10</t>
  </si>
  <si>
    <t>GT 2157 UX1</t>
  </si>
  <si>
    <t>215/55R17 UX1</t>
  </si>
  <si>
    <t>2167 RAN HPE</t>
  </si>
  <si>
    <t>1325221417096HRHE0</t>
  </si>
  <si>
    <t>GT 2167 RAN HPE</t>
  </si>
  <si>
    <t>215/60 R17 RANGER HPE</t>
  </si>
  <si>
    <t>2167 RAN HT</t>
  </si>
  <si>
    <t>1325221417096HRHT0</t>
  </si>
  <si>
    <t>GT 2167 RAN HT</t>
  </si>
  <si>
    <t>215/60 R17 RANGER HT</t>
  </si>
  <si>
    <t>2177 RAN HT</t>
  </si>
  <si>
    <t>1325223517104HRPG0</t>
  </si>
  <si>
    <t>GT 2177 RAN HT</t>
  </si>
  <si>
    <t>235/65R17 RANGER HT PUNCTURE GUARD</t>
  </si>
  <si>
    <t>2217 UX1</t>
  </si>
  <si>
    <t>1325222217094VUX10</t>
  </si>
  <si>
    <t>GT2217 UX1</t>
  </si>
  <si>
    <t>225/50R17 UX1</t>
  </si>
  <si>
    <t>2227 UX1 EXP</t>
  </si>
  <si>
    <t>1325222217098VUX10</t>
  </si>
  <si>
    <t>GT 2227 UX1 EXP</t>
  </si>
  <si>
    <t>225/50 R17 UX1 EXP</t>
  </si>
  <si>
    <t>2237 ROYL</t>
  </si>
  <si>
    <t>1325222417099HURL0</t>
  </si>
  <si>
    <t>GT 2237 ROYL</t>
  </si>
  <si>
    <t>225/60 R17 UX ROYALE</t>
  </si>
  <si>
    <t>2247 LEVI</t>
  </si>
  <si>
    <t>1325222117094YLEV0</t>
  </si>
  <si>
    <t>GT 2247 LEVI</t>
  </si>
  <si>
    <t>225/45R17 LEVITAS 94 Y TL</t>
  </si>
  <si>
    <t>2257 UX1</t>
  </si>
  <si>
    <t>1325222317101VUX10</t>
  </si>
  <si>
    <t>GT 2257 UX1</t>
  </si>
  <si>
    <t>225/55 R17 UX1 101 V TL</t>
  </si>
  <si>
    <t>2267 ROYL HYU</t>
  </si>
  <si>
    <t>1325221417096HURL0</t>
  </si>
  <si>
    <t>GT 2267 ROYL HYU</t>
  </si>
  <si>
    <t>215/60 R17 UX ROYALE HYUNDAI</t>
  </si>
  <si>
    <t>2267 ROYL PG</t>
  </si>
  <si>
    <t>1325221417096HURP0</t>
  </si>
  <si>
    <t>GT 2267 ROYL PG</t>
  </si>
  <si>
    <t>215/60 R17  UX ROYALE PUNCTURE GUARD</t>
  </si>
  <si>
    <t>2277 RAN HT</t>
  </si>
  <si>
    <t>1325222517102HRHT0</t>
  </si>
  <si>
    <t>GT2277 RAN HT</t>
  </si>
  <si>
    <t>225/65 R17 RANGER HT</t>
  </si>
  <si>
    <t>2287 LEVI</t>
  </si>
  <si>
    <t>1325222217098YLEVY</t>
  </si>
  <si>
    <t>GT 2287 LEVI</t>
  </si>
  <si>
    <t>225/50 R17 LEVITAS ULTRA</t>
  </si>
  <si>
    <t>2317 NXT MM</t>
  </si>
  <si>
    <t>1325223517104HENX0</t>
  </si>
  <si>
    <t>GT2356517ENXTTL</t>
  </si>
  <si>
    <t>235/65 R17 ELANZO NXT</t>
  </si>
  <si>
    <t>2337 BLA HT</t>
  </si>
  <si>
    <t>1325223517104HBHT0</t>
  </si>
  <si>
    <t>GT2337 BLA HT</t>
  </si>
  <si>
    <t>235/65 R17 BLAZZE HT</t>
  </si>
  <si>
    <t>2357 UX1</t>
  </si>
  <si>
    <t>1325223317099VUX10</t>
  </si>
  <si>
    <t>GT2357 UX1</t>
  </si>
  <si>
    <t>235/55R17 UX1</t>
  </si>
  <si>
    <t>2367 RAN HT</t>
  </si>
  <si>
    <t>1325223517104HRHT0</t>
  </si>
  <si>
    <t>GT2367 RAN HT</t>
  </si>
  <si>
    <t>235/65 R17 104H RANGER HT</t>
  </si>
  <si>
    <t>2367 RAN XATW</t>
  </si>
  <si>
    <t>1325223517104TRXT0</t>
  </si>
  <si>
    <t>GT 2367 RAN XATW</t>
  </si>
  <si>
    <t>235/65 R17 RANGER X-AT 104T</t>
  </si>
  <si>
    <t>2377 RAN HTP</t>
  </si>
  <si>
    <t>1325223517104HRHP0</t>
  </si>
  <si>
    <t>GT 2377 RAN HTP</t>
  </si>
  <si>
    <t>2417 UX1</t>
  </si>
  <si>
    <t>1325224117099VUX10</t>
  </si>
  <si>
    <t>GT 2417 UX1</t>
  </si>
  <si>
    <t>245/45 R17 UX1 99 V</t>
  </si>
  <si>
    <t>2447 LEVI</t>
  </si>
  <si>
    <t>1325224117099WLEVY</t>
  </si>
  <si>
    <t>GT 2447 LEVI</t>
  </si>
  <si>
    <t>245/45R17 LEVITAS ULTRA 99 W TL</t>
  </si>
  <si>
    <t>2457 LEVI</t>
  </si>
  <si>
    <t>1325222317101YLEVY</t>
  </si>
  <si>
    <t>GT 2457 LEVI</t>
  </si>
  <si>
    <t>225/55 R17 LEVITAS ULTRA</t>
  </si>
  <si>
    <t>2557 HPE KIA</t>
  </si>
  <si>
    <t>1325221317094VRHE3</t>
  </si>
  <si>
    <t>GT 2557 HPE KIA</t>
  </si>
  <si>
    <t>2557 UX1 EXP</t>
  </si>
  <si>
    <t>1325223317103VUX10</t>
  </si>
  <si>
    <t>GT 2557 UX1 EXP</t>
  </si>
  <si>
    <t>235/55 R17 UX1 EXP</t>
  </si>
  <si>
    <t>2567 EZO TOU</t>
  </si>
  <si>
    <t>1325223517104HETR0</t>
  </si>
  <si>
    <t>GT 2567 EZO TOU</t>
  </si>
  <si>
    <t>235/65 R17 ELANZO TOURING</t>
  </si>
  <si>
    <t>2617 RAN MT</t>
  </si>
  <si>
    <t>1325226617121LRMTZ</t>
  </si>
  <si>
    <t>GT 2617 RAN MT</t>
  </si>
  <si>
    <t>265/70 R17 RANGER MT Defense</t>
  </si>
  <si>
    <t>2617 RAN XAT</t>
  </si>
  <si>
    <t>1325226517112HRXT0</t>
  </si>
  <si>
    <t>GT 2617 RAN XAT</t>
  </si>
  <si>
    <t>265/65 R 17 Ranger XATW</t>
  </si>
  <si>
    <t>2627 RAN HT</t>
  </si>
  <si>
    <t>1325226617115TRHT0</t>
  </si>
  <si>
    <t>GT 2627 RAN HT</t>
  </si>
  <si>
    <t>265/70 R17 RANGER HT 115 T TL</t>
  </si>
  <si>
    <t>2657 BLA HT</t>
  </si>
  <si>
    <t>1325226517112HBHT0</t>
  </si>
  <si>
    <t>GT 2657 BLA HT</t>
  </si>
  <si>
    <t>265/65 R17 BLAZZE HT</t>
  </si>
  <si>
    <t xml:space="preserve">2657 RAN HT </t>
  </si>
  <si>
    <t>1325226517120LRHTZ</t>
  </si>
  <si>
    <t>GT 2657 RAN HT</t>
  </si>
  <si>
    <t>265/65 R17 RANGER HT</t>
  </si>
  <si>
    <t>2657 RAN XATW</t>
  </si>
  <si>
    <t>1325226517112TRXT0</t>
  </si>
  <si>
    <t>GT 2657 RAN XATW</t>
  </si>
  <si>
    <t>2667 RAN HT</t>
  </si>
  <si>
    <t>1325226517112HRHT0</t>
  </si>
  <si>
    <t>GT2667 RAN HT</t>
  </si>
  <si>
    <t>2667 RAN HT PG</t>
  </si>
  <si>
    <t>1325226517112HRPG0</t>
  </si>
  <si>
    <t>GT 2667 RAN HT PG</t>
  </si>
  <si>
    <t>265/65 R17 RANGER HT PUNCTURE GUARD 112 H</t>
  </si>
  <si>
    <t>2677 RAN MT</t>
  </si>
  <si>
    <t>1325226617118QRMT0</t>
  </si>
  <si>
    <t>GT 2677 RAN MT</t>
  </si>
  <si>
    <t>265/70 R17 RANGER MT</t>
  </si>
  <si>
    <t>2737 LEVI</t>
  </si>
  <si>
    <t>1325223317103YLEV0</t>
  </si>
  <si>
    <t>GT 2737 LEVI</t>
  </si>
  <si>
    <t>235/55 R17 LEVITAS</t>
  </si>
  <si>
    <t>2777 BLA HT</t>
  </si>
  <si>
    <t>1325222517102HBHT0</t>
  </si>
  <si>
    <t>GT 2777 BLA HT</t>
  </si>
  <si>
    <t>225/65 R17 BLAZZE HT</t>
  </si>
  <si>
    <t>2158 RAN HT</t>
  </si>
  <si>
    <t>1325221318095HRHP0</t>
  </si>
  <si>
    <t>GT 2158 RAN HT</t>
  </si>
  <si>
    <t>215/55 R18 Ranger HT 95H</t>
  </si>
  <si>
    <t>18</t>
  </si>
  <si>
    <t>2158 ROYL HYU</t>
  </si>
  <si>
    <t>1325221318095HURL0</t>
  </si>
  <si>
    <t>GT 2158 ROYL HYU</t>
  </si>
  <si>
    <t>215/55R18 UX ROYALE</t>
  </si>
  <si>
    <t>2258 RAN HPE</t>
  </si>
  <si>
    <t>1325222318098HRHE0</t>
  </si>
  <si>
    <t>GT 2258 RAN HPE</t>
  </si>
  <si>
    <t>225/55R18 Ranger Hpe</t>
  </si>
  <si>
    <t>2268 RAN HPE</t>
  </si>
  <si>
    <t>1325222418100HRHE0</t>
  </si>
  <si>
    <t>GT 2268 RAN HPE</t>
  </si>
  <si>
    <t>2268 UX1</t>
  </si>
  <si>
    <t>1325222418104HUX10</t>
  </si>
  <si>
    <t>GT 2268 UX1</t>
  </si>
  <si>
    <t>225/60 R18 UX1 104 H</t>
  </si>
  <si>
    <t>2338 EZO TOU</t>
  </si>
  <si>
    <t>1325223518106HETR0</t>
  </si>
  <si>
    <t>GT 2338 EZO TOU</t>
  </si>
  <si>
    <t>235/65 R18 ELANZO TOURING</t>
  </si>
  <si>
    <t>2348 UX1</t>
  </si>
  <si>
    <t>1325223118098VUX10</t>
  </si>
  <si>
    <t>GT 2348 UX1</t>
  </si>
  <si>
    <t>235/45 R18 UX1 98V</t>
  </si>
  <si>
    <t>2368 EZO TOU</t>
  </si>
  <si>
    <t>1325223418103VETR0</t>
  </si>
  <si>
    <t>GT 2368 EZO TOU</t>
  </si>
  <si>
    <t>235/60 R18 ELANZO TOURING</t>
  </si>
  <si>
    <t>2368 RAN HT</t>
  </si>
  <si>
    <t>1325223418103HRHP0</t>
  </si>
  <si>
    <t>GT 2368 RAN HT</t>
  </si>
  <si>
    <t>235/60 R18 RANGER HT 103V</t>
  </si>
  <si>
    <t>2408 UX1</t>
  </si>
  <si>
    <t>1325224018097WUX10</t>
  </si>
  <si>
    <t>GT 2408 UX1</t>
  </si>
  <si>
    <t>245/40 R18 UX1 97 W</t>
  </si>
  <si>
    <t>2428 LEVI</t>
  </si>
  <si>
    <t>1325224118100WLEV0</t>
  </si>
  <si>
    <t>GT 2428 LEVI</t>
  </si>
  <si>
    <t>245/45 R18 LEVITAS ULTRA</t>
  </si>
  <si>
    <t>2448 UX1</t>
  </si>
  <si>
    <t>1325224118100WUX10</t>
  </si>
  <si>
    <t>GT 2448 UX1</t>
  </si>
  <si>
    <t>245/45 R18 UX1 100 W</t>
  </si>
  <si>
    <t>2458 RAN HPE</t>
  </si>
  <si>
    <t>1325225518111HRHE0</t>
  </si>
  <si>
    <t>GT 2458 RAN HPE</t>
  </si>
  <si>
    <t>255/65 R18 RANGER HPE</t>
  </si>
  <si>
    <t>2558 RAN HTP</t>
  </si>
  <si>
    <t>1325225518111HRHP0</t>
  </si>
  <si>
    <t>GT 2558 RAN HTP</t>
  </si>
  <si>
    <t>255/65 R18 RANGER HT+</t>
  </si>
  <si>
    <t>2568 RAN AT</t>
  </si>
  <si>
    <t>1325225518111HRAT0</t>
  </si>
  <si>
    <t>GT 2568 RAN AT</t>
  </si>
  <si>
    <t>255/65 R18 RANGER AT</t>
  </si>
  <si>
    <t>2568 RAN HT2</t>
  </si>
  <si>
    <t>1325225518111HRHB0</t>
  </si>
  <si>
    <t>GT 2568 HT2</t>
  </si>
  <si>
    <t>255/65 R 18 Ranger HT2 111 H</t>
  </si>
  <si>
    <t>2568 RAN HTP</t>
  </si>
  <si>
    <t>1325225418108HRHT0</t>
  </si>
  <si>
    <t>GT 2568 RAN HTP</t>
  </si>
  <si>
    <t>255/60 R18 RANGER HT+</t>
  </si>
  <si>
    <t>2618 RAN ATB</t>
  </si>
  <si>
    <t>1325225518111HRAT1</t>
  </si>
  <si>
    <t>GT 2618 RAN ATB</t>
  </si>
  <si>
    <t>255/65 R 18 RANGER AT(BLACK SIDEWALL)</t>
  </si>
  <si>
    <t>2658 RAN HTP</t>
  </si>
  <si>
    <t>1325226518114HRHP0</t>
  </si>
  <si>
    <t>GT 2658 RAN HTP</t>
  </si>
  <si>
    <t>265/65 R18 RANGER HT</t>
  </si>
  <si>
    <t>2658 RAN XAT</t>
  </si>
  <si>
    <t>1325226418110HRXT0</t>
  </si>
  <si>
    <t>GT 2658 RAN XAT</t>
  </si>
  <si>
    <t>265/60 R 18 Ranger XAT 110H</t>
  </si>
  <si>
    <t>2668 RAN HTP</t>
  </si>
  <si>
    <t>1325226418110HRHP0</t>
  </si>
  <si>
    <t>GT 2668 RAN HTP</t>
  </si>
  <si>
    <t>265/60 R18 RANGER HT</t>
  </si>
  <si>
    <t>2668 RAN XATW</t>
  </si>
  <si>
    <t xml:space="preserve">1325226418110TRXT0 </t>
  </si>
  <si>
    <t>GT 2668 RAN XATW</t>
  </si>
  <si>
    <t>265/60 R 18 Ranger XATW 110T</t>
  </si>
  <si>
    <t>2459 RAN HP</t>
  </si>
  <si>
    <t>1325224319103HRHM0</t>
  </si>
  <si>
    <t>GT 2459 RAN HP</t>
  </si>
  <si>
    <t>245/55 R19 RANGER HP</t>
  </si>
  <si>
    <t>19</t>
  </si>
  <si>
    <t>2359 RAN HP</t>
  </si>
  <si>
    <t>1325223319105VRHM0</t>
  </si>
  <si>
    <t>GT 2359 RAN HP</t>
  </si>
  <si>
    <t>235/55 R19 RANGER HP</t>
  </si>
  <si>
    <t>2549 LEVI</t>
  </si>
  <si>
    <t>1325225119104WLEV0</t>
  </si>
  <si>
    <t>GT 2549 LEVI</t>
  </si>
  <si>
    <t>255/45 R 19 Levitas Ultra</t>
  </si>
  <si>
    <t>2569 RAN AT</t>
  </si>
  <si>
    <t>1325225419109HRAT0</t>
  </si>
  <si>
    <t>GT 2569 RAN AT</t>
  </si>
  <si>
    <t>255/60 R19 RANGER AT 109 H</t>
  </si>
  <si>
    <t>2520 LEVI</t>
  </si>
  <si>
    <t>1325225C20101WLEV0</t>
  </si>
  <si>
    <t>GT 2520 LEVI</t>
  </si>
  <si>
    <t>255/40R20 LEVITAS ULTRA</t>
  </si>
  <si>
    <t>20</t>
  </si>
  <si>
    <t>1325217716093HRHE0</t>
  </si>
  <si>
    <t>GT 1776 RAN HPE</t>
  </si>
  <si>
    <t>It is in trial as confirmed on 30 July</t>
  </si>
  <si>
    <t>GT CODE</t>
  </si>
  <si>
    <t>Fg code</t>
  </si>
  <si>
    <t>GT 1654 EZO TOU</t>
  </si>
  <si>
    <t>165/80 R 14 UX TOURING 85 S</t>
  </si>
  <si>
    <t>GT 2566 RAN HT</t>
  </si>
  <si>
    <t>215/65 R16 RANGER HT TATA</t>
  </si>
  <si>
    <t>GT 2568 RAN ATB</t>
  </si>
  <si>
    <t>GT T1457 STAR</t>
  </si>
  <si>
    <t>T145/70 R17 STAR XT</t>
  </si>
  <si>
    <t>1325214617107MSXT0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</si>
</sst>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Times New Roman"/>
      <family val="2"/>
    </font>
    <font>
      <sz val="11"/>
      <name val="Aptos Narrow"/>
      <family val="2"/>
      <scheme val="minor"/>
    </font>
    <font>
      <sz val="12"/>
      <name val="Times New Roman"/>
      <family val="1"/>
    </font>
    <font>
      <sz val="10"/>
      <color rgb="FF333333"/>
      <name val="Times New Roman"/>
      <family val="1"/>
    </font>
    <font>
      <sz val="10"/>
      <color rgb="FF000000"/>
      <name val="Aptos"/>
      <family val="2"/>
    </font>
    <font>
      <sz val="11"/>
      <color rgb="FF000000"/>
      <name val="Calibri"/>
      <family val="2"/>
    </font>
    <font>
      <sz val="12"/>
      <color rgb="FF1F497D"/>
      <name val="Times New Roman"/>
      <family val="1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4" fillId="3" borderId="1" xfId="1" applyFont="1" applyFill="1" applyBorder="1" applyAlignment="1">
      <alignment horizontal="left" vertical="center"/>
    </xf>
    <xf numFmtId="0" fontId="1" fillId="3" borderId="1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1" fontId="0" fillId="3" borderId="1" xfId="0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10" fillId="3" borderId="1" xfId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2" fillId="3" borderId="3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0" fillId="3" borderId="3" xfId="0" applyFill="1" applyBorder="1" applyAlignment="1">
      <alignment horizontal="left"/>
    </xf>
    <xf numFmtId="1" fontId="0" fillId="3" borderId="3" xfId="0" applyNumberFormat="1" applyFill="1" applyBorder="1" applyAlignment="1">
      <alignment horizontal="left"/>
    </xf>
    <xf numFmtId="164" fontId="0" fillId="3" borderId="3" xfId="0" applyNumberFormat="1" applyFill="1" applyBorder="1" applyAlignment="1">
      <alignment horizontal="left"/>
    </xf>
    <xf numFmtId="0" fontId="1" fillId="3" borderId="2" xfId="1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/>
    </xf>
    <xf numFmtId="1" fontId="0" fillId="3" borderId="2" xfId="0" applyNumberFormat="1" applyFill="1" applyBorder="1" applyAlignment="1">
      <alignment horizontal="left"/>
    </xf>
    <xf numFmtId="0" fontId="1" fillId="3" borderId="0" xfId="1" applyFont="1" applyFill="1" applyAlignment="1">
      <alignment horizontal="left" vertical="center"/>
    </xf>
    <xf numFmtId="0" fontId="8" fillId="3" borderId="0" xfId="0" applyFont="1" applyFill="1" applyAlignment="1">
      <alignment horizontal="left"/>
    </xf>
    <xf numFmtId="1" fontId="0" fillId="3" borderId="0" xfId="0" applyNumberFormat="1" applyFill="1" applyAlignment="1">
      <alignment horizontal="left"/>
    </xf>
    <xf numFmtId="0" fontId="9" fillId="3" borderId="0" xfId="0" applyFont="1" applyFill="1" applyAlignment="1">
      <alignment horizontal="left"/>
    </xf>
    <xf numFmtId="0" fontId="1" fillId="4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/>
    </xf>
  </cellXfs>
  <cellStyles count="2">
    <cellStyle name="Normal" xfId="0" builtinId="0"/>
    <cellStyle name="Normal 4" xfId="1" xr:uid="{7E9EF950-FC16-4B21-B4EA-8BDECED4C84C}"/>
  </cellStyles>
  <dxfs count="189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220</xdr:row>
      <xdr:rowOff>0</xdr:rowOff>
    </xdr:from>
    <xdr:ext cx="123825" cy="123825"/>
    <xdr:pic>
      <xdr:nvPicPr>
        <xdr:cNvPr id="2" name="BExU65O9OE4B4MQ2A3OYH13M8BZJ" descr="3INNIMMPDBB0JF37L81M6ID21" hidden="1">
          <a:extLst>
            <a:ext uri="{FF2B5EF4-FFF2-40B4-BE49-F238E27FC236}">
              <a16:creationId xmlns:a16="http://schemas.microsoft.com/office/drawing/2014/main" id="{2452B1EF-ADED-45F1-805D-FC80E44C2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3" name="BExU65O9OE4B4MQ2A3OYH13M8BZJ" descr="3INNIMMPDBB0JF37L81M6ID21" hidden="1">
          <a:extLst>
            <a:ext uri="{FF2B5EF4-FFF2-40B4-BE49-F238E27FC236}">
              <a16:creationId xmlns:a16="http://schemas.microsoft.com/office/drawing/2014/main" id="{B685476F-CC8A-488D-81B3-9A62E06D0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4" name="BExU65O9OE4B4MQ2A3OYH13M8BZJ" descr="3INNIMMPDBB0JF37L81M6ID21" hidden="1">
          <a:extLst>
            <a:ext uri="{FF2B5EF4-FFF2-40B4-BE49-F238E27FC236}">
              <a16:creationId xmlns:a16="http://schemas.microsoft.com/office/drawing/2014/main" id="{8B5E408F-5D3C-4C01-9601-160D32384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5" name="BExU65O9OE4B4MQ2A3OYH13M8BZJ" descr="3INNIMMPDBB0JF37L81M6ID21" hidden="1">
          <a:extLst>
            <a:ext uri="{FF2B5EF4-FFF2-40B4-BE49-F238E27FC236}">
              <a16:creationId xmlns:a16="http://schemas.microsoft.com/office/drawing/2014/main" id="{27A99C0E-5A54-46AE-8CB0-B39C04711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6" name="BExU65O9OE4B4MQ2A3OYH13M8BZJ" descr="3INNIMMPDBB0JF37L81M6ID21" hidden="1">
          <a:extLst>
            <a:ext uri="{FF2B5EF4-FFF2-40B4-BE49-F238E27FC236}">
              <a16:creationId xmlns:a16="http://schemas.microsoft.com/office/drawing/2014/main" id="{9E4E5485-2F7B-48BD-AA1D-815D22E5F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7" name="BExU65O9OE4B4MQ2A3OYH13M8BZJ" descr="3INNIMMPDBB0JF37L81M6ID21" hidden="1">
          <a:extLst>
            <a:ext uri="{FF2B5EF4-FFF2-40B4-BE49-F238E27FC236}">
              <a16:creationId xmlns:a16="http://schemas.microsoft.com/office/drawing/2014/main" id="{B574F220-5DDB-4ED4-8008-9C5172D7D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8" name="BExU65O9OE4B4MQ2A3OYH13M8BZJ" descr="3INNIMMPDBB0JF37L81M6ID21" hidden="1">
          <a:extLst>
            <a:ext uri="{FF2B5EF4-FFF2-40B4-BE49-F238E27FC236}">
              <a16:creationId xmlns:a16="http://schemas.microsoft.com/office/drawing/2014/main" id="{8A310C3B-4B80-4896-87DF-9140C0A79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9" name="BExU65O9OE4B4MQ2A3OYH13M8BZJ" descr="3INNIMMPDBB0JF37L81M6ID21" hidden="1">
          <a:extLst>
            <a:ext uri="{FF2B5EF4-FFF2-40B4-BE49-F238E27FC236}">
              <a16:creationId xmlns:a16="http://schemas.microsoft.com/office/drawing/2014/main" id="{DD744E03-DFF5-40F9-A073-D3CFB6382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0" name="BExU65O9OE4B4MQ2A3OYH13M8BZJ" descr="3INNIMMPDBB0JF37L81M6ID21" hidden="1">
          <a:extLst>
            <a:ext uri="{FF2B5EF4-FFF2-40B4-BE49-F238E27FC236}">
              <a16:creationId xmlns:a16="http://schemas.microsoft.com/office/drawing/2014/main" id="{9FD84915-7264-47A3-8D1A-4F71594F3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1" name="BExU65O9OE4B4MQ2A3OYH13M8BZJ" descr="3INNIMMPDBB0JF37L81M6ID21" hidden="1">
          <a:extLst>
            <a:ext uri="{FF2B5EF4-FFF2-40B4-BE49-F238E27FC236}">
              <a16:creationId xmlns:a16="http://schemas.microsoft.com/office/drawing/2014/main" id="{D6B15FC3-139A-49C6-987D-195B116D0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2" name="BExU65O9OE4B4MQ2A3OYH13M8BZJ" descr="3INNIMMPDBB0JF37L81M6ID21" hidden="1">
          <a:extLst>
            <a:ext uri="{FF2B5EF4-FFF2-40B4-BE49-F238E27FC236}">
              <a16:creationId xmlns:a16="http://schemas.microsoft.com/office/drawing/2014/main" id="{76DC6FC6-7A57-4A29-922E-4F150E2C3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3" name="BExU65O9OE4B4MQ2A3OYH13M8BZJ" descr="3INNIMMPDBB0JF37L81M6ID21" hidden="1">
          <a:extLst>
            <a:ext uri="{FF2B5EF4-FFF2-40B4-BE49-F238E27FC236}">
              <a16:creationId xmlns:a16="http://schemas.microsoft.com/office/drawing/2014/main" id="{C5F65B3C-023A-4D3A-986C-E505F2FCC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4" name="BExU65O9OE4B4MQ2A3OYH13M8BZJ" descr="3INNIMMPDBB0JF37L81M6ID21" hidden="1">
          <a:extLst>
            <a:ext uri="{FF2B5EF4-FFF2-40B4-BE49-F238E27FC236}">
              <a16:creationId xmlns:a16="http://schemas.microsoft.com/office/drawing/2014/main" id="{3EC29B74-F4B2-4B67-B3F7-3217BD03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5" name="BExU65O9OE4B4MQ2A3OYH13M8BZJ" descr="3INNIMMPDBB0JF37L81M6ID21" hidden="1">
          <a:extLst>
            <a:ext uri="{FF2B5EF4-FFF2-40B4-BE49-F238E27FC236}">
              <a16:creationId xmlns:a16="http://schemas.microsoft.com/office/drawing/2014/main" id="{415459D9-D1E1-4041-924E-3A42F6552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6" name="BExU65O9OE4B4MQ2A3OYH13M8BZJ" descr="3INNIMMPDBB0JF37L81M6ID21" hidden="1">
          <a:extLst>
            <a:ext uri="{FF2B5EF4-FFF2-40B4-BE49-F238E27FC236}">
              <a16:creationId xmlns:a16="http://schemas.microsoft.com/office/drawing/2014/main" id="{262E0545-D642-4BF9-A15D-5FA6957B5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7" name="BExU65O9OE4B4MQ2A3OYH13M8BZJ" descr="3INNIMMPDBB0JF37L81M6ID21" hidden="1">
          <a:extLst>
            <a:ext uri="{FF2B5EF4-FFF2-40B4-BE49-F238E27FC236}">
              <a16:creationId xmlns:a16="http://schemas.microsoft.com/office/drawing/2014/main" id="{3F852A34-728A-4F0B-B4B0-14C7B15B6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8" name="BExU65O9OE4B4MQ2A3OYH13M8BZJ" descr="3INNIMMPDBB0JF37L81M6ID21" hidden="1">
          <a:extLst>
            <a:ext uri="{FF2B5EF4-FFF2-40B4-BE49-F238E27FC236}">
              <a16:creationId xmlns:a16="http://schemas.microsoft.com/office/drawing/2014/main" id="{1A47A5D5-4D25-4315-8A3E-CCB5B021C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9" name="BExU65O9OE4B4MQ2A3OYH13M8BZJ" descr="3INNIMMPDBB0JF37L81M6ID21" hidden="1">
          <a:extLst>
            <a:ext uri="{FF2B5EF4-FFF2-40B4-BE49-F238E27FC236}">
              <a16:creationId xmlns:a16="http://schemas.microsoft.com/office/drawing/2014/main" id="{739864FE-2492-4CAE-8F37-69E65E98C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20" name="BExU65O9OE4B4MQ2A3OYH13M8BZJ" descr="3INNIMMPDBB0JF37L81M6ID21" hidden="1">
          <a:extLst>
            <a:ext uri="{FF2B5EF4-FFF2-40B4-BE49-F238E27FC236}">
              <a16:creationId xmlns:a16="http://schemas.microsoft.com/office/drawing/2014/main" id="{912257C8-55B8-4109-A71A-EEF875275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21" name="BExU65O9OE4B4MQ2A3OYH13M8BZJ" descr="3INNIMMPDBB0JF37L81M6ID21" hidden="1">
          <a:extLst>
            <a:ext uri="{FF2B5EF4-FFF2-40B4-BE49-F238E27FC236}">
              <a16:creationId xmlns:a16="http://schemas.microsoft.com/office/drawing/2014/main" id="{15223E48-01FB-45B8-ADAA-62AE218A4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22" name="BExU65O9OE4B4MQ2A3OYH13M8BZJ" descr="3INNIMMPDBB0JF37L81M6ID21" hidden="1">
          <a:extLst>
            <a:ext uri="{FF2B5EF4-FFF2-40B4-BE49-F238E27FC236}">
              <a16:creationId xmlns:a16="http://schemas.microsoft.com/office/drawing/2014/main" id="{301AD5D8-CE44-41A4-A5F1-4F72BB485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23" name="BExU65O9OE4B4MQ2A3OYH13M8BZJ" descr="3INNIMMPDBB0JF37L81M6ID21" hidden="1">
          <a:extLst>
            <a:ext uri="{FF2B5EF4-FFF2-40B4-BE49-F238E27FC236}">
              <a16:creationId xmlns:a16="http://schemas.microsoft.com/office/drawing/2014/main" id="{02D83E1B-1F7B-4898-BA2C-D8D83059D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18</xdr:row>
      <xdr:rowOff>0</xdr:rowOff>
    </xdr:from>
    <xdr:ext cx="123825" cy="123825"/>
    <xdr:pic>
      <xdr:nvPicPr>
        <xdr:cNvPr id="24" name="BExU65O9OE4B4MQ2A3OYH13M8BZJ" descr="3INNIMMPDBB0JF37L81M6ID21" hidden="1">
          <a:extLst>
            <a:ext uri="{FF2B5EF4-FFF2-40B4-BE49-F238E27FC236}">
              <a16:creationId xmlns:a16="http://schemas.microsoft.com/office/drawing/2014/main" id="{E674F6B2-AE86-42C9-8687-1CFEDD2FA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69532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18</xdr:row>
      <xdr:rowOff>0</xdr:rowOff>
    </xdr:from>
    <xdr:ext cx="123825" cy="123825"/>
    <xdr:pic>
      <xdr:nvPicPr>
        <xdr:cNvPr id="25" name="BExU65O9OE4B4MQ2A3OYH13M8BZJ" descr="3INNIMMPDBB0JF37L81M6ID21" hidden="1">
          <a:extLst>
            <a:ext uri="{FF2B5EF4-FFF2-40B4-BE49-F238E27FC236}">
              <a16:creationId xmlns:a16="http://schemas.microsoft.com/office/drawing/2014/main" id="{14AED773-AB28-448C-94E6-95C5C551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69532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18</xdr:row>
      <xdr:rowOff>0</xdr:rowOff>
    </xdr:from>
    <xdr:ext cx="123825" cy="123825"/>
    <xdr:pic>
      <xdr:nvPicPr>
        <xdr:cNvPr id="26" name="BExU65O9OE4B4MQ2A3OYH13M8BZJ" descr="3INNIMMPDBB0JF37L81M6ID21" hidden="1">
          <a:extLst>
            <a:ext uri="{FF2B5EF4-FFF2-40B4-BE49-F238E27FC236}">
              <a16:creationId xmlns:a16="http://schemas.microsoft.com/office/drawing/2014/main" id="{6D3274FF-AA12-46A4-9EF3-66B9BB453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69532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18</xdr:row>
      <xdr:rowOff>0</xdr:rowOff>
    </xdr:from>
    <xdr:ext cx="123825" cy="123825"/>
    <xdr:pic>
      <xdr:nvPicPr>
        <xdr:cNvPr id="27" name="BExU65O9OE4B4MQ2A3OYH13M8BZJ" descr="3INNIMMPDBB0JF37L81M6ID21" hidden="1">
          <a:extLst>
            <a:ext uri="{FF2B5EF4-FFF2-40B4-BE49-F238E27FC236}">
              <a16:creationId xmlns:a16="http://schemas.microsoft.com/office/drawing/2014/main" id="{B61D269F-49B0-4CF4-B316-3FEB84651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69532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28" name="BExU65O9OE4B4MQ2A3OYH13M8BZJ" descr="3INNIMMPDBB0JF37L81M6ID21" hidden="1">
          <a:extLst>
            <a:ext uri="{FF2B5EF4-FFF2-40B4-BE49-F238E27FC236}">
              <a16:creationId xmlns:a16="http://schemas.microsoft.com/office/drawing/2014/main" id="{EC2747CB-A923-4322-9497-AFE2088D2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29" name="BExU65O9OE4B4MQ2A3OYH13M8BZJ" descr="3INNIMMPDBB0JF37L81M6ID21" hidden="1">
          <a:extLst>
            <a:ext uri="{FF2B5EF4-FFF2-40B4-BE49-F238E27FC236}">
              <a16:creationId xmlns:a16="http://schemas.microsoft.com/office/drawing/2014/main" id="{BD167EF7-4F71-469A-9418-118940859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30" name="BExU65O9OE4B4MQ2A3OYH13M8BZJ" descr="3INNIMMPDBB0JF37L81M6ID21" hidden="1">
          <a:extLst>
            <a:ext uri="{FF2B5EF4-FFF2-40B4-BE49-F238E27FC236}">
              <a16:creationId xmlns:a16="http://schemas.microsoft.com/office/drawing/2014/main" id="{D3308116-BB8F-4D04-824B-2153E5F88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31" name="BExU65O9OE4B4MQ2A3OYH13M8BZJ" descr="3INNIMMPDBB0JF37L81M6ID21" hidden="1">
          <a:extLst>
            <a:ext uri="{FF2B5EF4-FFF2-40B4-BE49-F238E27FC236}">
              <a16:creationId xmlns:a16="http://schemas.microsoft.com/office/drawing/2014/main" id="{2C677D29-7B00-418A-84D0-5EE91E13F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18</xdr:row>
      <xdr:rowOff>0</xdr:rowOff>
    </xdr:from>
    <xdr:ext cx="123825" cy="123825"/>
    <xdr:pic>
      <xdr:nvPicPr>
        <xdr:cNvPr id="32" name="BExU65O9OE4B4MQ2A3OYH13M8BZJ" descr="3INNIMMPDBB0JF37L81M6ID21" hidden="1">
          <a:extLst>
            <a:ext uri="{FF2B5EF4-FFF2-40B4-BE49-F238E27FC236}">
              <a16:creationId xmlns:a16="http://schemas.microsoft.com/office/drawing/2014/main" id="{0AB4B01C-9677-48BE-BBF3-07ECEE12B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69532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18</xdr:row>
      <xdr:rowOff>0</xdr:rowOff>
    </xdr:from>
    <xdr:ext cx="123825" cy="123825"/>
    <xdr:pic>
      <xdr:nvPicPr>
        <xdr:cNvPr id="33" name="BExU65O9OE4B4MQ2A3OYH13M8BZJ" descr="3INNIMMPDBB0JF37L81M6ID21" hidden="1">
          <a:extLst>
            <a:ext uri="{FF2B5EF4-FFF2-40B4-BE49-F238E27FC236}">
              <a16:creationId xmlns:a16="http://schemas.microsoft.com/office/drawing/2014/main" id="{E09D5ADE-CD79-4311-BA1F-89A8A5FB1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69532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18</xdr:row>
      <xdr:rowOff>0</xdr:rowOff>
    </xdr:from>
    <xdr:ext cx="123825" cy="123825"/>
    <xdr:pic>
      <xdr:nvPicPr>
        <xdr:cNvPr id="34" name="BExU65O9OE4B4MQ2A3OYH13M8BZJ" descr="3INNIMMPDBB0JF37L81M6ID21" hidden="1">
          <a:extLst>
            <a:ext uri="{FF2B5EF4-FFF2-40B4-BE49-F238E27FC236}">
              <a16:creationId xmlns:a16="http://schemas.microsoft.com/office/drawing/2014/main" id="{52BB0511-F18A-477F-BB34-262FB3531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69532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18</xdr:row>
      <xdr:rowOff>0</xdr:rowOff>
    </xdr:from>
    <xdr:ext cx="123825" cy="123825"/>
    <xdr:pic>
      <xdr:nvPicPr>
        <xdr:cNvPr id="35" name="BExU65O9OE4B4MQ2A3OYH13M8BZJ" descr="3INNIMMPDBB0JF37L81M6ID21" hidden="1">
          <a:extLst>
            <a:ext uri="{FF2B5EF4-FFF2-40B4-BE49-F238E27FC236}">
              <a16:creationId xmlns:a16="http://schemas.microsoft.com/office/drawing/2014/main" id="{CD4858EA-DB39-4A8F-94BF-7CD0D7B70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69532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36" name="BExU65O9OE4B4MQ2A3OYH13M8BZJ" descr="3INNIMMPDBB0JF37L81M6ID21" hidden="1">
          <a:extLst>
            <a:ext uri="{FF2B5EF4-FFF2-40B4-BE49-F238E27FC236}">
              <a16:creationId xmlns:a16="http://schemas.microsoft.com/office/drawing/2014/main" id="{03F6145D-DD87-40D2-9101-5AB302075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37" name="BExU65O9OE4B4MQ2A3OYH13M8BZJ" descr="3INNIMMPDBB0JF37L81M6ID21" hidden="1">
          <a:extLst>
            <a:ext uri="{FF2B5EF4-FFF2-40B4-BE49-F238E27FC236}">
              <a16:creationId xmlns:a16="http://schemas.microsoft.com/office/drawing/2014/main" id="{B314BC94-A3A5-4BC1-8ED3-2F8B5E819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38" name="BExU65O9OE4B4MQ2A3OYH13M8BZJ" descr="3INNIMMPDBB0JF37L81M6ID21" hidden="1">
          <a:extLst>
            <a:ext uri="{FF2B5EF4-FFF2-40B4-BE49-F238E27FC236}">
              <a16:creationId xmlns:a16="http://schemas.microsoft.com/office/drawing/2014/main" id="{31A55668-B351-4384-B804-6C2A08439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39" name="BExU65O9OE4B4MQ2A3OYH13M8BZJ" descr="3INNIMMPDBB0JF37L81M6ID21" hidden="1">
          <a:extLst>
            <a:ext uri="{FF2B5EF4-FFF2-40B4-BE49-F238E27FC236}">
              <a16:creationId xmlns:a16="http://schemas.microsoft.com/office/drawing/2014/main" id="{5CA3F47F-5E55-4624-9989-9BEB4C3D9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40" name="BExU65O9OE4B4MQ2A3OYH13M8BZJ" descr="3INNIMMPDBB0JF37L81M6ID21" hidden="1">
          <a:extLst>
            <a:ext uri="{FF2B5EF4-FFF2-40B4-BE49-F238E27FC236}">
              <a16:creationId xmlns:a16="http://schemas.microsoft.com/office/drawing/2014/main" id="{6ED34A95-2EA5-41B1-BFD9-52B3EAA9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41" name="BExU65O9OE4B4MQ2A3OYH13M8BZJ" descr="3INNIMMPDBB0JF37L81M6ID21" hidden="1">
          <a:extLst>
            <a:ext uri="{FF2B5EF4-FFF2-40B4-BE49-F238E27FC236}">
              <a16:creationId xmlns:a16="http://schemas.microsoft.com/office/drawing/2014/main" id="{28E42E53-E380-47F0-801B-4E6C31CC2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42" name="BExU65O9OE4B4MQ2A3OYH13M8BZJ" descr="3INNIMMPDBB0JF37L81M6ID21" hidden="1">
          <a:extLst>
            <a:ext uri="{FF2B5EF4-FFF2-40B4-BE49-F238E27FC236}">
              <a16:creationId xmlns:a16="http://schemas.microsoft.com/office/drawing/2014/main" id="{6B56DAFB-F4A1-456E-8823-9370B8E7C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43" name="BExU65O9OE4B4MQ2A3OYH13M8BZJ" descr="3INNIMMPDBB0JF37L81M6ID21" hidden="1">
          <a:extLst>
            <a:ext uri="{FF2B5EF4-FFF2-40B4-BE49-F238E27FC236}">
              <a16:creationId xmlns:a16="http://schemas.microsoft.com/office/drawing/2014/main" id="{4A1A9D1D-78F6-4DF0-B2B1-DE889E619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44" name="BExU65O9OE4B4MQ2A3OYH13M8BZJ" descr="3INNIMMPDBB0JF37L81M6ID21" hidden="1">
          <a:extLst>
            <a:ext uri="{FF2B5EF4-FFF2-40B4-BE49-F238E27FC236}">
              <a16:creationId xmlns:a16="http://schemas.microsoft.com/office/drawing/2014/main" id="{CF9C3B6F-9EC1-4A53-ACC4-A1EA4608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274</xdr:row>
      <xdr:rowOff>0</xdr:rowOff>
    </xdr:from>
    <xdr:ext cx="123825" cy="123825"/>
    <xdr:pic>
      <xdr:nvPicPr>
        <xdr:cNvPr id="45" name="BExU65O9OE4B4MQ2A3OYH13M8BZJ" descr="3INNIMMPDBB0JF37L81M6ID21" hidden="1">
          <a:extLst>
            <a:ext uri="{FF2B5EF4-FFF2-40B4-BE49-F238E27FC236}">
              <a16:creationId xmlns:a16="http://schemas.microsoft.com/office/drawing/2014/main" id="{B0C652B8-CDE0-4727-931B-21C7A6EF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980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274</xdr:row>
      <xdr:rowOff>0</xdr:rowOff>
    </xdr:from>
    <xdr:ext cx="123825" cy="123825"/>
    <xdr:pic>
      <xdr:nvPicPr>
        <xdr:cNvPr id="46" name="BExU65O9OE4B4MQ2A3OYH13M8BZJ" descr="3INNIMMPDBB0JF37L81M6ID21" hidden="1">
          <a:extLst>
            <a:ext uri="{FF2B5EF4-FFF2-40B4-BE49-F238E27FC236}">
              <a16:creationId xmlns:a16="http://schemas.microsoft.com/office/drawing/2014/main" id="{2EE715BC-E4FD-4FDC-9AE0-324D186C5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980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274</xdr:row>
      <xdr:rowOff>0</xdr:rowOff>
    </xdr:from>
    <xdr:ext cx="123825" cy="123825"/>
    <xdr:pic>
      <xdr:nvPicPr>
        <xdr:cNvPr id="47" name="BExU65O9OE4B4MQ2A3OYH13M8BZJ" descr="3INNIMMPDBB0JF37L81M6ID21" hidden="1">
          <a:extLst>
            <a:ext uri="{FF2B5EF4-FFF2-40B4-BE49-F238E27FC236}">
              <a16:creationId xmlns:a16="http://schemas.microsoft.com/office/drawing/2014/main" id="{50844AE3-BF44-4E05-AB49-B4121C52C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980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274</xdr:row>
      <xdr:rowOff>0</xdr:rowOff>
    </xdr:from>
    <xdr:ext cx="123825" cy="123825"/>
    <xdr:pic>
      <xdr:nvPicPr>
        <xdr:cNvPr id="48" name="BExU65O9OE4B4MQ2A3OYH13M8BZJ" descr="3INNIMMPDBB0JF37L81M6ID21" hidden="1">
          <a:extLst>
            <a:ext uri="{FF2B5EF4-FFF2-40B4-BE49-F238E27FC236}">
              <a16:creationId xmlns:a16="http://schemas.microsoft.com/office/drawing/2014/main" id="{9972E6EA-2BE0-41A3-B807-E4A2D61E5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980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275</xdr:row>
      <xdr:rowOff>0</xdr:rowOff>
    </xdr:from>
    <xdr:ext cx="123825" cy="123825"/>
    <xdr:pic>
      <xdr:nvPicPr>
        <xdr:cNvPr id="49" name="BExU65O9OE4B4MQ2A3OYH13M8BZJ" descr="3INNIMMPDBB0JF37L81M6ID21" hidden="1">
          <a:extLst>
            <a:ext uri="{FF2B5EF4-FFF2-40B4-BE49-F238E27FC236}">
              <a16:creationId xmlns:a16="http://schemas.microsoft.com/office/drawing/2014/main" id="{F6BACEFA-E885-41FD-8523-D094DA77D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2170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275</xdr:row>
      <xdr:rowOff>0</xdr:rowOff>
    </xdr:from>
    <xdr:ext cx="123825" cy="123825"/>
    <xdr:pic>
      <xdr:nvPicPr>
        <xdr:cNvPr id="50" name="BExU65O9OE4B4MQ2A3OYH13M8BZJ" descr="3INNIMMPDBB0JF37L81M6ID21" hidden="1">
          <a:extLst>
            <a:ext uri="{FF2B5EF4-FFF2-40B4-BE49-F238E27FC236}">
              <a16:creationId xmlns:a16="http://schemas.microsoft.com/office/drawing/2014/main" id="{91AA0AAF-601F-4DA3-AA15-B946E7C66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2170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275</xdr:row>
      <xdr:rowOff>0</xdr:rowOff>
    </xdr:from>
    <xdr:ext cx="123825" cy="123825"/>
    <xdr:pic>
      <xdr:nvPicPr>
        <xdr:cNvPr id="51" name="BExU65O9OE4B4MQ2A3OYH13M8BZJ" descr="3INNIMMPDBB0JF37L81M6ID21" hidden="1">
          <a:extLst>
            <a:ext uri="{FF2B5EF4-FFF2-40B4-BE49-F238E27FC236}">
              <a16:creationId xmlns:a16="http://schemas.microsoft.com/office/drawing/2014/main" id="{35DFC2B8-84EE-4DA3-9DAF-3DA4ACFA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2170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275</xdr:row>
      <xdr:rowOff>0</xdr:rowOff>
    </xdr:from>
    <xdr:ext cx="123825" cy="123825"/>
    <xdr:pic>
      <xdr:nvPicPr>
        <xdr:cNvPr id="52" name="BExU65O9OE4B4MQ2A3OYH13M8BZJ" descr="3INNIMMPDBB0JF37L81M6ID21" hidden="1">
          <a:extLst>
            <a:ext uri="{FF2B5EF4-FFF2-40B4-BE49-F238E27FC236}">
              <a16:creationId xmlns:a16="http://schemas.microsoft.com/office/drawing/2014/main" id="{C94CABE9-0F4F-40ED-9B5B-B54EF2CFB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2170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53" name="BExU65O9OE4B4MQ2A3OYH13M8BZJ" descr="3INNIMMPDBB0JF37L81M6ID21" hidden="1">
          <a:extLst>
            <a:ext uri="{FF2B5EF4-FFF2-40B4-BE49-F238E27FC236}">
              <a16:creationId xmlns:a16="http://schemas.microsoft.com/office/drawing/2014/main" id="{AE12E0E1-7E3C-470C-8B26-B5B06B17C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54" name="BExU65O9OE4B4MQ2A3OYH13M8BZJ" descr="3INNIMMPDBB0JF37L81M6ID21" hidden="1">
          <a:extLst>
            <a:ext uri="{FF2B5EF4-FFF2-40B4-BE49-F238E27FC236}">
              <a16:creationId xmlns:a16="http://schemas.microsoft.com/office/drawing/2014/main" id="{F0A8FD0E-4977-415A-AF8F-B3F54E96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55" name="BExU65O9OE4B4MQ2A3OYH13M8BZJ" descr="3INNIMMPDBB0JF37L81M6ID21" hidden="1">
          <a:extLst>
            <a:ext uri="{FF2B5EF4-FFF2-40B4-BE49-F238E27FC236}">
              <a16:creationId xmlns:a16="http://schemas.microsoft.com/office/drawing/2014/main" id="{06045C1C-81EE-4064-ACE2-87E445AE1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56" name="BExU65O9OE4B4MQ2A3OYH13M8BZJ" descr="3INNIMMPDBB0JF37L81M6ID21" hidden="1">
          <a:extLst>
            <a:ext uri="{FF2B5EF4-FFF2-40B4-BE49-F238E27FC236}">
              <a16:creationId xmlns:a16="http://schemas.microsoft.com/office/drawing/2014/main" id="{C0F5F998-FE0E-451D-9FFE-D92D65659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57" name="BExU65O9OE4B4MQ2A3OYH13M8BZJ" descr="3INNIMMPDBB0JF37L81M6ID21" hidden="1">
          <a:extLst>
            <a:ext uri="{FF2B5EF4-FFF2-40B4-BE49-F238E27FC236}">
              <a16:creationId xmlns:a16="http://schemas.microsoft.com/office/drawing/2014/main" id="{FE46F32B-1D58-4993-9C4D-A102C5F86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58" name="BExU65O9OE4B4MQ2A3OYH13M8BZJ" descr="3INNIMMPDBB0JF37L81M6ID21" hidden="1">
          <a:extLst>
            <a:ext uri="{FF2B5EF4-FFF2-40B4-BE49-F238E27FC236}">
              <a16:creationId xmlns:a16="http://schemas.microsoft.com/office/drawing/2014/main" id="{1AF8D3CE-1773-4E72-BA24-54A6B2DAE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59" name="BExU65O9OE4B4MQ2A3OYH13M8BZJ" descr="3INNIMMPDBB0JF37L81M6ID21" hidden="1">
          <a:extLst>
            <a:ext uri="{FF2B5EF4-FFF2-40B4-BE49-F238E27FC236}">
              <a16:creationId xmlns:a16="http://schemas.microsoft.com/office/drawing/2014/main" id="{ED5CE370-200D-4BD5-BE36-B8F6254CA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60" name="BExU65O9OE4B4MQ2A3OYH13M8BZJ" descr="3INNIMMPDBB0JF37L81M6ID21" hidden="1">
          <a:extLst>
            <a:ext uri="{FF2B5EF4-FFF2-40B4-BE49-F238E27FC236}">
              <a16:creationId xmlns:a16="http://schemas.microsoft.com/office/drawing/2014/main" id="{BC12EBA7-06E3-4991-948E-F8A90B363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273</xdr:row>
      <xdr:rowOff>0</xdr:rowOff>
    </xdr:from>
    <xdr:ext cx="123825" cy="123825"/>
    <xdr:pic>
      <xdr:nvPicPr>
        <xdr:cNvPr id="61" name="BExU65O9OE4B4MQ2A3OYH13M8BZJ" descr="3INNIMMPDBB0JF37L81M6ID21" hidden="1">
          <a:extLst>
            <a:ext uri="{FF2B5EF4-FFF2-40B4-BE49-F238E27FC236}">
              <a16:creationId xmlns:a16="http://schemas.microsoft.com/office/drawing/2014/main" id="{440B79DC-4D73-4CA9-8389-3FA4F2C85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789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274</xdr:row>
      <xdr:rowOff>0</xdr:rowOff>
    </xdr:from>
    <xdr:ext cx="123825" cy="123825"/>
    <xdr:pic>
      <xdr:nvPicPr>
        <xdr:cNvPr id="62" name="BExU65O9OE4B4MQ2A3OYH13M8BZJ" descr="3INNIMMPDBB0JF37L81M6ID21" hidden="1">
          <a:extLst>
            <a:ext uri="{FF2B5EF4-FFF2-40B4-BE49-F238E27FC236}">
              <a16:creationId xmlns:a16="http://schemas.microsoft.com/office/drawing/2014/main" id="{E5F88C33-8B40-4FF3-8FFF-25985E877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980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274</xdr:row>
      <xdr:rowOff>0</xdr:rowOff>
    </xdr:from>
    <xdr:ext cx="123825" cy="123825"/>
    <xdr:pic>
      <xdr:nvPicPr>
        <xdr:cNvPr id="63" name="BExU65O9OE4B4MQ2A3OYH13M8BZJ" descr="3INNIMMPDBB0JF37L81M6ID21" hidden="1">
          <a:extLst>
            <a:ext uri="{FF2B5EF4-FFF2-40B4-BE49-F238E27FC236}">
              <a16:creationId xmlns:a16="http://schemas.microsoft.com/office/drawing/2014/main" id="{31D6AE90-9067-4B5A-8C8A-14D6D6BF0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980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274</xdr:row>
      <xdr:rowOff>0</xdr:rowOff>
    </xdr:from>
    <xdr:ext cx="123825" cy="123825"/>
    <xdr:pic>
      <xdr:nvPicPr>
        <xdr:cNvPr id="64" name="BExU65O9OE4B4MQ2A3OYH13M8BZJ" descr="3INNIMMPDBB0JF37L81M6ID21" hidden="1">
          <a:extLst>
            <a:ext uri="{FF2B5EF4-FFF2-40B4-BE49-F238E27FC236}">
              <a16:creationId xmlns:a16="http://schemas.microsoft.com/office/drawing/2014/main" id="{8C7E84D2-7EEF-4855-8DE7-5E63D631F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980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274</xdr:row>
      <xdr:rowOff>0</xdr:rowOff>
    </xdr:from>
    <xdr:ext cx="123825" cy="123825"/>
    <xdr:pic>
      <xdr:nvPicPr>
        <xdr:cNvPr id="65" name="BExU65O9OE4B4MQ2A3OYH13M8BZJ" descr="3INNIMMPDBB0JF37L81M6ID21" hidden="1">
          <a:extLst>
            <a:ext uri="{FF2B5EF4-FFF2-40B4-BE49-F238E27FC236}">
              <a16:creationId xmlns:a16="http://schemas.microsoft.com/office/drawing/2014/main" id="{0B0B10A9-E901-4048-B447-3E98F3BB9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980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275</xdr:row>
      <xdr:rowOff>0</xdr:rowOff>
    </xdr:from>
    <xdr:ext cx="123825" cy="123825"/>
    <xdr:pic>
      <xdr:nvPicPr>
        <xdr:cNvPr id="66" name="BExU65O9OE4B4MQ2A3OYH13M8BZJ" descr="3INNIMMPDBB0JF37L81M6ID21" hidden="1">
          <a:extLst>
            <a:ext uri="{FF2B5EF4-FFF2-40B4-BE49-F238E27FC236}">
              <a16:creationId xmlns:a16="http://schemas.microsoft.com/office/drawing/2014/main" id="{BDFD0C1B-12CC-405C-8B4C-5E548C709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2170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275</xdr:row>
      <xdr:rowOff>0</xdr:rowOff>
    </xdr:from>
    <xdr:ext cx="123825" cy="123825"/>
    <xdr:pic>
      <xdr:nvPicPr>
        <xdr:cNvPr id="67" name="BExU65O9OE4B4MQ2A3OYH13M8BZJ" descr="3INNIMMPDBB0JF37L81M6ID21" hidden="1">
          <a:extLst>
            <a:ext uri="{FF2B5EF4-FFF2-40B4-BE49-F238E27FC236}">
              <a16:creationId xmlns:a16="http://schemas.microsoft.com/office/drawing/2014/main" id="{64C805C8-6B7B-4A64-B5A2-53653731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2170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275</xdr:row>
      <xdr:rowOff>0</xdr:rowOff>
    </xdr:from>
    <xdr:ext cx="123825" cy="123825"/>
    <xdr:pic>
      <xdr:nvPicPr>
        <xdr:cNvPr id="68" name="BExU65O9OE4B4MQ2A3OYH13M8BZJ" descr="3INNIMMPDBB0JF37L81M6ID21" hidden="1">
          <a:extLst>
            <a:ext uri="{FF2B5EF4-FFF2-40B4-BE49-F238E27FC236}">
              <a16:creationId xmlns:a16="http://schemas.microsoft.com/office/drawing/2014/main" id="{95F08679-AD9F-4CFD-A219-988AC775F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2170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275</xdr:row>
      <xdr:rowOff>0</xdr:rowOff>
    </xdr:from>
    <xdr:ext cx="123825" cy="123825"/>
    <xdr:pic>
      <xdr:nvPicPr>
        <xdr:cNvPr id="69" name="BExU65O9OE4B4MQ2A3OYH13M8BZJ" descr="3INNIMMPDBB0JF37L81M6ID21" hidden="1">
          <a:extLst>
            <a:ext uri="{FF2B5EF4-FFF2-40B4-BE49-F238E27FC236}">
              <a16:creationId xmlns:a16="http://schemas.microsoft.com/office/drawing/2014/main" id="{2053FE34-941F-4BE2-9205-BA98E6826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21709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70" name="BExU65O9OE4B4MQ2A3OYH13M8BZJ" descr="3INNIMMPDBB0JF37L81M6ID21" hidden="1">
          <a:extLst>
            <a:ext uri="{FF2B5EF4-FFF2-40B4-BE49-F238E27FC236}">
              <a16:creationId xmlns:a16="http://schemas.microsoft.com/office/drawing/2014/main" id="{CD89F10F-C285-45E2-904A-0E4D7E57B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71" name="BExU65O9OE4B4MQ2A3OYH13M8BZJ" descr="3INNIMMPDBB0JF37L81M6ID21" hidden="1">
          <a:extLst>
            <a:ext uri="{FF2B5EF4-FFF2-40B4-BE49-F238E27FC236}">
              <a16:creationId xmlns:a16="http://schemas.microsoft.com/office/drawing/2014/main" id="{039EFD88-503F-4063-A7E9-3B788CA2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72" name="BExU65O9OE4B4MQ2A3OYH13M8BZJ" descr="3INNIMMPDBB0JF37L81M6ID21" hidden="1">
          <a:extLst>
            <a:ext uri="{FF2B5EF4-FFF2-40B4-BE49-F238E27FC236}">
              <a16:creationId xmlns:a16="http://schemas.microsoft.com/office/drawing/2014/main" id="{E8663CED-D5F4-454A-893B-B852C18B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73" name="BExU65O9OE4B4MQ2A3OYH13M8BZJ" descr="3INNIMMPDBB0JF37L81M6ID21" hidden="1">
          <a:extLst>
            <a:ext uri="{FF2B5EF4-FFF2-40B4-BE49-F238E27FC236}">
              <a16:creationId xmlns:a16="http://schemas.microsoft.com/office/drawing/2014/main" id="{8EDD2698-CB0B-4669-8A42-D0581C0F5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74" name="BExU65O9OE4B4MQ2A3OYH13M8BZJ" descr="3INNIMMPDBB0JF37L81M6ID21" hidden="1">
          <a:extLst>
            <a:ext uri="{FF2B5EF4-FFF2-40B4-BE49-F238E27FC236}">
              <a16:creationId xmlns:a16="http://schemas.microsoft.com/office/drawing/2014/main" id="{C03E1B7E-E71B-4455-9979-47DAE2D9C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75" name="BExU65O9OE4B4MQ2A3OYH13M8BZJ" descr="3INNIMMPDBB0JF37L81M6ID21" hidden="1">
          <a:extLst>
            <a:ext uri="{FF2B5EF4-FFF2-40B4-BE49-F238E27FC236}">
              <a16:creationId xmlns:a16="http://schemas.microsoft.com/office/drawing/2014/main" id="{709B29AD-2E16-4EEB-8B7F-866501040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76" name="BExU65O9OE4B4MQ2A3OYH13M8BZJ" descr="3INNIMMPDBB0JF37L81M6ID21" hidden="1">
          <a:extLst>
            <a:ext uri="{FF2B5EF4-FFF2-40B4-BE49-F238E27FC236}">
              <a16:creationId xmlns:a16="http://schemas.microsoft.com/office/drawing/2014/main" id="{F96ED410-690A-49BC-AB69-2A3715F7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77" name="BExU65O9OE4B4MQ2A3OYH13M8BZJ" descr="3INNIMMPDBB0JF37L81M6ID21" hidden="1">
          <a:extLst>
            <a:ext uri="{FF2B5EF4-FFF2-40B4-BE49-F238E27FC236}">
              <a16:creationId xmlns:a16="http://schemas.microsoft.com/office/drawing/2014/main" id="{A7F0C121-E6E2-448A-9E76-03CB1DF0F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78" name="BExU65O9OE4B4MQ2A3OYH13M8BZJ" descr="3INNIMMPDBB0JF37L81M6ID21" hidden="1">
          <a:extLst>
            <a:ext uri="{FF2B5EF4-FFF2-40B4-BE49-F238E27FC236}">
              <a16:creationId xmlns:a16="http://schemas.microsoft.com/office/drawing/2014/main" id="{82C7BE66-A9A9-4CDA-8CF8-C341ACD87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79" name="BExU65O9OE4B4MQ2A3OYH13M8BZJ" descr="3INNIMMPDBB0JF37L81M6ID21" hidden="1">
          <a:extLst>
            <a:ext uri="{FF2B5EF4-FFF2-40B4-BE49-F238E27FC236}">
              <a16:creationId xmlns:a16="http://schemas.microsoft.com/office/drawing/2014/main" id="{3E7F3B82-3238-40F9-84EE-BF2F60FAA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80" name="BExU65O9OE4B4MQ2A3OYH13M8BZJ" descr="3INNIMMPDBB0JF37L81M6ID21" hidden="1">
          <a:extLst>
            <a:ext uri="{FF2B5EF4-FFF2-40B4-BE49-F238E27FC236}">
              <a16:creationId xmlns:a16="http://schemas.microsoft.com/office/drawing/2014/main" id="{E9D6C4A0-044A-4AE6-9239-D8C7B5F60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81" name="BExU65O9OE4B4MQ2A3OYH13M8BZJ" descr="3INNIMMPDBB0JF37L81M6ID21" hidden="1">
          <a:extLst>
            <a:ext uri="{FF2B5EF4-FFF2-40B4-BE49-F238E27FC236}">
              <a16:creationId xmlns:a16="http://schemas.microsoft.com/office/drawing/2014/main" id="{C51EBA23-410D-46E1-AE52-61F690A66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82" name="BExU65O9OE4B4MQ2A3OYH13M8BZJ" descr="3INNIMMPDBB0JF37L81M6ID21" hidden="1">
          <a:extLst>
            <a:ext uri="{FF2B5EF4-FFF2-40B4-BE49-F238E27FC236}">
              <a16:creationId xmlns:a16="http://schemas.microsoft.com/office/drawing/2014/main" id="{3CC0A422-1EF2-4234-8F49-5BC1DED8D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83" name="BExU65O9OE4B4MQ2A3OYH13M8BZJ" descr="3INNIMMPDBB0JF37L81M6ID21" hidden="1">
          <a:extLst>
            <a:ext uri="{FF2B5EF4-FFF2-40B4-BE49-F238E27FC236}">
              <a16:creationId xmlns:a16="http://schemas.microsoft.com/office/drawing/2014/main" id="{3C691C8E-7A96-4E75-918A-0EDF23DBA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84" name="BExU65O9OE4B4MQ2A3OYH13M8BZJ" descr="3INNIMMPDBB0JF37L81M6ID21" hidden="1">
          <a:extLst>
            <a:ext uri="{FF2B5EF4-FFF2-40B4-BE49-F238E27FC236}">
              <a16:creationId xmlns:a16="http://schemas.microsoft.com/office/drawing/2014/main" id="{A8916377-F0E5-4CEF-9487-A84D4E208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85" name="BExU65O9OE4B4MQ2A3OYH13M8BZJ" descr="3INNIMMPDBB0JF37L81M6ID21" hidden="1">
          <a:extLst>
            <a:ext uri="{FF2B5EF4-FFF2-40B4-BE49-F238E27FC236}">
              <a16:creationId xmlns:a16="http://schemas.microsoft.com/office/drawing/2014/main" id="{BE8D9A78-4BFA-4926-A742-6F81A2F4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86" name="BExU65O9OE4B4MQ2A3OYH13M8BZJ" descr="3INNIMMPDBB0JF37L81M6ID21" hidden="1">
          <a:extLst>
            <a:ext uri="{FF2B5EF4-FFF2-40B4-BE49-F238E27FC236}">
              <a16:creationId xmlns:a16="http://schemas.microsoft.com/office/drawing/2014/main" id="{00E7676E-7913-486C-85B5-07804904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272</xdr:row>
      <xdr:rowOff>0</xdr:rowOff>
    </xdr:from>
    <xdr:ext cx="123825" cy="123825"/>
    <xdr:pic>
      <xdr:nvPicPr>
        <xdr:cNvPr id="87" name="BExU65O9OE4B4MQ2A3OYH13M8BZJ" descr="3INNIMMPDBB0JF37L81M6ID21" hidden="1">
          <a:extLst>
            <a:ext uri="{FF2B5EF4-FFF2-40B4-BE49-F238E27FC236}">
              <a16:creationId xmlns:a16="http://schemas.microsoft.com/office/drawing/2014/main" id="{1F4479AD-AB6E-4A15-960C-87253C38B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1599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88" name="BExU65O9OE4B4MQ2A3OYH13M8BZJ" descr="3INNIMMPDBB0JF37L81M6ID21" hidden="1">
          <a:extLst>
            <a:ext uri="{FF2B5EF4-FFF2-40B4-BE49-F238E27FC236}">
              <a16:creationId xmlns:a16="http://schemas.microsoft.com/office/drawing/2014/main" id="{4C15E153-5E60-4A73-A095-0E7982E3F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89" name="BExU65O9OE4B4MQ2A3OYH13M8BZJ" descr="3INNIMMPDBB0JF37L81M6ID21" hidden="1">
          <a:extLst>
            <a:ext uri="{FF2B5EF4-FFF2-40B4-BE49-F238E27FC236}">
              <a16:creationId xmlns:a16="http://schemas.microsoft.com/office/drawing/2014/main" id="{82D6E990-6D5D-4ED1-852B-408DA7D51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90" name="BExU65O9OE4B4MQ2A3OYH13M8BZJ" descr="3INNIMMPDBB0JF37L81M6ID21" hidden="1">
          <a:extLst>
            <a:ext uri="{FF2B5EF4-FFF2-40B4-BE49-F238E27FC236}">
              <a16:creationId xmlns:a16="http://schemas.microsoft.com/office/drawing/2014/main" id="{E79DE65D-A663-4485-B787-3BD34D7C8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91" name="BExU65O9OE4B4MQ2A3OYH13M8BZJ" descr="3INNIMMPDBB0JF37L81M6ID21" hidden="1">
          <a:extLst>
            <a:ext uri="{FF2B5EF4-FFF2-40B4-BE49-F238E27FC236}">
              <a16:creationId xmlns:a16="http://schemas.microsoft.com/office/drawing/2014/main" id="{810DBCF6-511B-4F0F-90BE-F90DFA54C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92" name="BExU65O9OE4B4MQ2A3OYH13M8BZJ" descr="3INNIMMPDBB0JF37L81M6ID21" hidden="1">
          <a:extLst>
            <a:ext uri="{FF2B5EF4-FFF2-40B4-BE49-F238E27FC236}">
              <a16:creationId xmlns:a16="http://schemas.microsoft.com/office/drawing/2014/main" id="{5E23A573-EBBA-48F6-9F15-A98FB7BDC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93" name="BExU65O9OE4B4MQ2A3OYH13M8BZJ" descr="3INNIMMPDBB0JF37L81M6ID21" hidden="1">
          <a:extLst>
            <a:ext uri="{FF2B5EF4-FFF2-40B4-BE49-F238E27FC236}">
              <a16:creationId xmlns:a16="http://schemas.microsoft.com/office/drawing/2014/main" id="{EEA51CD5-B2DB-43B9-8BE2-00DA02790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94" name="BExU65O9OE4B4MQ2A3OYH13M8BZJ" descr="3INNIMMPDBB0JF37L81M6ID21" hidden="1">
          <a:extLst>
            <a:ext uri="{FF2B5EF4-FFF2-40B4-BE49-F238E27FC236}">
              <a16:creationId xmlns:a16="http://schemas.microsoft.com/office/drawing/2014/main" id="{1A3CF62F-C1F1-448F-9C31-E4648B661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95" name="BExU65O9OE4B4MQ2A3OYH13M8BZJ" descr="3INNIMMPDBB0JF37L81M6ID21" hidden="1">
          <a:extLst>
            <a:ext uri="{FF2B5EF4-FFF2-40B4-BE49-F238E27FC236}">
              <a16:creationId xmlns:a16="http://schemas.microsoft.com/office/drawing/2014/main" id="{53614FBF-F8BF-4F5C-B9B3-D2F5EF79A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96" name="BExU65O9OE4B4MQ2A3OYH13M8BZJ" descr="3INNIMMPDBB0JF37L81M6ID21" hidden="1">
          <a:extLst>
            <a:ext uri="{FF2B5EF4-FFF2-40B4-BE49-F238E27FC236}">
              <a16:creationId xmlns:a16="http://schemas.microsoft.com/office/drawing/2014/main" id="{17E05917-2E53-4533-87CC-46FD6C276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97" name="BExU65O9OE4B4MQ2A3OYH13M8BZJ" descr="3INNIMMPDBB0JF37L81M6ID21" hidden="1">
          <a:extLst>
            <a:ext uri="{FF2B5EF4-FFF2-40B4-BE49-F238E27FC236}">
              <a16:creationId xmlns:a16="http://schemas.microsoft.com/office/drawing/2014/main" id="{1CE91C98-79F2-416E-AF47-D61ACD37A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98" name="BExU65O9OE4B4MQ2A3OYH13M8BZJ" descr="3INNIMMPDBB0JF37L81M6ID21" hidden="1">
          <a:extLst>
            <a:ext uri="{FF2B5EF4-FFF2-40B4-BE49-F238E27FC236}">
              <a16:creationId xmlns:a16="http://schemas.microsoft.com/office/drawing/2014/main" id="{DBCB004D-56EE-4E68-85F5-D1AF33CED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99" name="BExU65O9OE4B4MQ2A3OYH13M8BZJ" descr="3INNIMMPDBB0JF37L81M6ID21" hidden="1">
          <a:extLst>
            <a:ext uri="{FF2B5EF4-FFF2-40B4-BE49-F238E27FC236}">
              <a16:creationId xmlns:a16="http://schemas.microsoft.com/office/drawing/2014/main" id="{44356675-BEF3-425C-9354-8A9982E9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100" name="BExU65O9OE4B4MQ2A3OYH13M8BZJ" descr="3INNIMMPDBB0JF37L81M6ID21" hidden="1">
          <a:extLst>
            <a:ext uri="{FF2B5EF4-FFF2-40B4-BE49-F238E27FC236}">
              <a16:creationId xmlns:a16="http://schemas.microsoft.com/office/drawing/2014/main" id="{923F316B-FAE7-4A68-8C88-5C0DB1DD0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101" name="BExU65O9OE4B4MQ2A3OYH13M8BZJ" descr="3INNIMMPDBB0JF37L81M6ID21" hidden="1">
          <a:extLst>
            <a:ext uri="{FF2B5EF4-FFF2-40B4-BE49-F238E27FC236}">
              <a16:creationId xmlns:a16="http://schemas.microsoft.com/office/drawing/2014/main" id="{2B27D2F1-CFC1-4744-8645-36C1640C8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102" name="BExU65O9OE4B4MQ2A3OYH13M8BZJ" descr="3INNIMMPDBB0JF37L81M6ID21" hidden="1">
          <a:extLst>
            <a:ext uri="{FF2B5EF4-FFF2-40B4-BE49-F238E27FC236}">
              <a16:creationId xmlns:a16="http://schemas.microsoft.com/office/drawing/2014/main" id="{D791B0DF-911A-474A-8628-178E10038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268</xdr:row>
      <xdr:rowOff>0</xdr:rowOff>
    </xdr:from>
    <xdr:ext cx="123825" cy="123825"/>
    <xdr:pic>
      <xdr:nvPicPr>
        <xdr:cNvPr id="103" name="BExU65O9OE4B4MQ2A3OYH13M8BZJ" descr="3INNIMMPDBB0JF37L81M6ID21" hidden="1">
          <a:extLst>
            <a:ext uri="{FF2B5EF4-FFF2-40B4-BE49-F238E27FC236}">
              <a16:creationId xmlns:a16="http://schemas.microsoft.com/office/drawing/2014/main" id="{6EA2FBC7-B0A3-4A08-A6DF-C17AF2574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708374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04" name="BExU65O9OE4B4MQ2A3OYH13M8BZJ" descr="3INNIMMPDBB0JF37L81M6ID21" hidden="1">
          <a:extLst>
            <a:ext uri="{FF2B5EF4-FFF2-40B4-BE49-F238E27FC236}">
              <a16:creationId xmlns:a16="http://schemas.microsoft.com/office/drawing/2014/main" id="{1D3CBC05-1747-4EB9-85E8-B48F64EED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05" name="BExU65O9OE4B4MQ2A3OYH13M8BZJ" descr="3INNIMMPDBB0JF37L81M6ID21" hidden="1">
          <a:extLst>
            <a:ext uri="{FF2B5EF4-FFF2-40B4-BE49-F238E27FC236}">
              <a16:creationId xmlns:a16="http://schemas.microsoft.com/office/drawing/2014/main" id="{89E55AF7-2211-47D4-88F3-9548042D9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06" name="BExU65O9OE4B4MQ2A3OYH13M8BZJ" descr="3INNIMMPDBB0JF37L81M6ID21" hidden="1">
          <a:extLst>
            <a:ext uri="{FF2B5EF4-FFF2-40B4-BE49-F238E27FC236}">
              <a16:creationId xmlns:a16="http://schemas.microsoft.com/office/drawing/2014/main" id="{ABBD8C5B-B5FF-45A8-8CF5-C46600BEC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07" name="BExU65O9OE4B4MQ2A3OYH13M8BZJ" descr="3INNIMMPDBB0JF37L81M6ID21" hidden="1">
          <a:extLst>
            <a:ext uri="{FF2B5EF4-FFF2-40B4-BE49-F238E27FC236}">
              <a16:creationId xmlns:a16="http://schemas.microsoft.com/office/drawing/2014/main" id="{7790EB04-C9BC-4797-A855-6FA12A6D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08" name="BExU65O9OE4B4MQ2A3OYH13M8BZJ" descr="3INNIMMPDBB0JF37L81M6ID21" hidden="1">
          <a:extLst>
            <a:ext uri="{FF2B5EF4-FFF2-40B4-BE49-F238E27FC236}">
              <a16:creationId xmlns:a16="http://schemas.microsoft.com/office/drawing/2014/main" id="{FC7838EF-6FDC-4485-B094-8A7080791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09" name="BExU65O9OE4B4MQ2A3OYH13M8BZJ" descr="3INNIMMPDBB0JF37L81M6ID21" hidden="1">
          <a:extLst>
            <a:ext uri="{FF2B5EF4-FFF2-40B4-BE49-F238E27FC236}">
              <a16:creationId xmlns:a16="http://schemas.microsoft.com/office/drawing/2014/main" id="{9B4AC5B0-EC6E-4AE6-B4AD-A40CBE79A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10" name="BExU65O9OE4B4MQ2A3OYH13M8BZJ" descr="3INNIMMPDBB0JF37L81M6ID21" hidden="1">
          <a:extLst>
            <a:ext uri="{FF2B5EF4-FFF2-40B4-BE49-F238E27FC236}">
              <a16:creationId xmlns:a16="http://schemas.microsoft.com/office/drawing/2014/main" id="{BDE38B00-0666-4367-A1B1-D58196842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11" name="BExU65O9OE4B4MQ2A3OYH13M8BZJ" descr="3INNIMMPDBB0JF37L81M6ID21" hidden="1">
          <a:extLst>
            <a:ext uri="{FF2B5EF4-FFF2-40B4-BE49-F238E27FC236}">
              <a16:creationId xmlns:a16="http://schemas.microsoft.com/office/drawing/2014/main" id="{BDB1F73B-2D75-4C34-88A6-B4AA17282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12" name="BExU65O9OE4B4MQ2A3OYH13M8BZJ" descr="3INNIMMPDBB0JF37L81M6ID21" hidden="1">
          <a:extLst>
            <a:ext uri="{FF2B5EF4-FFF2-40B4-BE49-F238E27FC236}">
              <a16:creationId xmlns:a16="http://schemas.microsoft.com/office/drawing/2014/main" id="{513149F7-9957-4744-8BE3-57363AEAB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13" name="BExU65O9OE4B4MQ2A3OYH13M8BZJ" descr="3INNIMMPDBB0JF37L81M6ID21" hidden="1">
          <a:extLst>
            <a:ext uri="{FF2B5EF4-FFF2-40B4-BE49-F238E27FC236}">
              <a16:creationId xmlns:a16="http://schemas.microsoft.com/office/drawing/2014/main" id="{42C3FD8B-6A4F-4339-A3D2-0726B4F7F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14" name="BExU65O9OE4B4MQ2A3OYH13M8BZJ" descr="3INNIMMPDBB0JF37L81M6ID21" hidden="1">
          <a:extLst>
            <a:ext uri="{FF2B5EF4-FFF2-40B4-BE49-F238E27FC236}">
              <a16:creationId xmlns:a16="http://schemas.microsoft.com/office/drawing/2014/main" id="{EF3391B1-A8C6-4443-BD6E-FDB6D6C91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15" name="BExU65O9OE4B4MQ2A3OYH13M8BZJ" descr="3INNIMMPDBB0JF37L81M6ID21" hidden="1">
          <a:extLst>
            <a:ext uri="{FF2B5EF4-FFF2-40B4-BE49-F238E27FC236}">
              <a16:creationId xmlns:a16="http://schemas.microsoft.com/office/drawing/2014/main" id="{A0F63A67-A436-4238-84D3-C7BD8DB0A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16" name="BExU65O9OE4B4MQ2A3OYH13M8BZJ" descr="3INNIMMPDBB0JF37L81M6ID21" hidden="1">
          <a:extLst>
            <a:ext uri="{FF2B5EF4-FFF2-40B4-BE49-F238E27FC236}">
              <a16:creationId xmlns:a16="http://schemas.microsoft.com/office/drawing/2014/main" id="{21A9EAD5-CC38-499C-9854-28C494C1E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17" name="BExU65O9OE4B4MQ2A3OYH13M8BZJ" descr="3INNIMMPDBB0JF37L81M6ID21" hidden="1">
          <a:extLst>
            <a:ext uri="{FF2B5EF4-FFF2-40B4-BE49-F238E27FC236}">
              <a16:creationId xmlns:a16="http://schemas.microsoft.com/office/drawing/2014/main" id="{46BA1451-8EEA-4D78-BCF3-6AAAB4F2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18" name="BExU65O9OE4B4MQ2A3OYH13M8BZJ" descr="3INNIMMPDBB0JF37L81M6ID21" hidden="1">
          <a:extLst>
            <a:ext uri="{FF2B5EF4-FFF2-40B4-BE49-F238E27FC236}">
              <a16:creationId xmlns:a16="http://schemas.microsoft.com/office/drawing/2014/main" id="{F65B5FAC-1C3A-442D-8082-A69F3F8B5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19" name="BExU65O9OE4B4MQ2A3OYH13M8BZJ" descr="3INNIMMPDBB0JF37L81M6ID21" hidden="1">
          <a:extLst>
            <a:ext uri="{FF2B5EF4-FFF2-40B4-BE49-F238E27FC236}">
              <a16:creationId xmlns:a16="http://schemas.microsoft.com/office/drawing/2014/main" id="{19CDD309-80FE-4F2E-B0FC-609DCDB9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20" name="BExU65O9OE4B4MQ2A3OYH13M8BZJ" descr="3INNIMMPDBB0JF37L81M6ID21" hidden="1">
          <a:extLst>
            <a:ext uri="{FF2B5EF4-FFF2-40B4-BE49-F238E27FC236}">
              <a16:creationId xmlns:a16="http://schemas.microsoft.com/office/drawing/2014/main" id="{D03E8AC8-EEE5-4AA2-A00E-6BE224528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220</xdr:row>
      <xdr:rowOff>0</xdr:rowOff>
    </xdr:from>
    <xdr:ext cx="123825" cy="123825"/>
    <xdr:pic>
      <xdr:nvPicPr>
        <xdr:cNvPr id="121" name="BExU65O9OE4B4MQ2A3OYH13M8BZJ" descr="3INNIMMPDBB0JF37L81M6ID21" hidden="1">
          <a:extLst>
            <a:ext uri="{FF2B5EF4-FFF2-40B4-BE49-F238E27FC236}">
              <a16:creationId xmlns:a16="http://schemas.microsoft.com/office/drawing/2014/main" id="{A0750810-93B5-4D5A-830B-D38DEADF8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46301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122" name="BExU65O9OE4B4MQ2A3OYH13M8BZJ" descr="3INNIMMPDBB0JF37L81M6ID21" hidden="1">
          <a:extLst>
            <a:ext uri="{FF2B5EF4-FFF2-40B4-BE49-F238E27FC236}">
              <a16:creationId xmlns:a16="http://schemas.microsoft.com/office/drawing/2014/main" id="{E0940EC2-D9B7-4B27-A1B6-A73E82E34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123" name="BExU65O9OE4B4MQ2A3OYH13M8BZJ" descr="3INNIMMPDBB0JF37L81M6ID21" hidden="1">
          <a:extLst>
            <a:ext uri="{FF2B5EF4-FFF2-40B4-BE49-F238E27FC236}">
              <a16:creationId xmlns:a16="http://schemas.microsoft.com/office/drawing/2014/main" id="{4E8307FD-B6DE-4C7A-9658-A1F8EE17C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124" name="BExU65O9OE4B4MQ2A3OYH13M8BZJ" descr="3INNIMMPDBB0JF37L81M6ID21" hidden="1">
          <a:extLst>
            <a:ext uri="{FF2B5EF4-FFF2-40B4-BE49-F238E27FC236}">
              <a16:creationId xmlns:a16="http://schemas.microsoft.com/office/drawing/2014/main" id="{4F9B08CA-FDDA-409C-A11A-E4F17DBD0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125" name="BExU65O9OE4B4MQ2A3OYH13M8BZJ" descr="3INNIMMPDBB0JF37L81M6ID21" hidden="1">
          <a:extLst>
            <a:ext uri="{FF2B5EF4-FFF2-40B4-BE49-F238E27FC236}">
              <a16:creationId xmlns:a16="http://schemas.microsoft.com/office/drawing/2014/main" id="{A663A620-11A1-442A-BC31-9F3FF49CA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126" name="BExU65O9OE4B4MQ2A3OYH13M8BZJ" descr="3INNIMMPDBB0JF37L81M6ID21" hidden="1">
          <a:extLst>
            <a:ext uri="{FF2B5EF4-FFF2-40B4-BE49-F238E27FC236}">
              <a16:creationId xmlns:a16="http://schemas.microsoft.com/office/drawing/2014/main" id="{3F8023FA-14CD-4D52-9D19-DAC179044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127" name="BExU65O9OE4B4MQ2A3OYH13M8BZJ" descr="3INNIMMPDBB0JF37L81M6ID21" hidden="1">
          <a:extLst>
            <a:ext uri="{FF2B5EF4-FFF2-40B4-BE49-F238E27FC236}">
              <a16:creationId xmlns:a16="http://schemas.microsoft.com/office/drawing/2014/main" id="{EBE97D93-E248-49DA-B02A-1BE8FD81C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128" name="BExU65O9OE4B4MQ2A3OYH13M8BZJ" descr="3INNIMMPDBB0JF37L81M6ID21" hidden="1">
          <a:extLst>
            <a:ext uri="{FF2B5EF4-FFF2-40B4-BE49-F238E27FC236}">
              <a16:creationId xmlns:a16="http://schemas.microsoft.com/office/drawing/2014/main" id="{865B5588-1754-4ED2-9C21-36DD28085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  <xdr:oneCellAnchor>
    <xdr:from>
      <xdr:col>1</xdr:col>
      <xdr:colOff>47625</xdr:colOff>
      <xdr:row>209</xdr:row>
      <xdr:rowOff>0</xdr:rowOff>
    </xdr:from>
    <xdr:ext cx="123825" cy="123825"/>
    <xdr:pic>
      <xdr:nvPicPr>
        <xdr:cNvPr id="129" name="BExU65O9OE4B4MQ2A3OYH13M8BZJ" descr="3INNIMMPDBB0JF37L81M6ID21" hidden="1">
          <a:extLst>
            <a:ext uri="{FF2B5EF4-FFF2-40B4-BE49-F238E27FC236}">
              <a16:creationId xmlns:a16="http://schemas.microsoft.com/office/drawing/2014/main" id="{0FA7E380-48EB-4B7D-98CE-00875E452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3990975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3.PCR\01.%20Spec\03.%20Master%20Spec\MASTER%20SPEC%20(SG%20updated%20-%20July'25).xlsb" TargetMode="External"/><Relationship Id="rId1" Type="http://schemas.openxmlformats.org/officeDocument/2006/relationships/externalLinkPath" Target="file:///Z:\03.PCR\01.%20Spec\03.%20Master%20Spec\MASTER%20SPEC%20(SG%20updated%20-%20July'25).xlsb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16583\Desktop\LTS%20%23%203%20-%20Norms%20&amp;%20Manning%20Summary%20with%20Signed%20Status%20and%20INDEX%20-%2008.10.2025.xlsx" TargetMode="External"/><Relationship Id="rId2" Type="http://schemas.microsoft.com/office/2019/04/relationships/externalLinkLongPath" Target="LTS%20# 3 - Norms &amp; Manning Summary with Signed Status and INDEX - 08.10.2025.xlsx?93F2F6A7" TargetMode="External"/><Relationship Id="rId1" Type="http://schemas.openxmlformats.org/officeDocument/2006/relationships/externalLinkPath" Target="file:///\\93F2F6A7\LTS%20%23%203%20-%20Norms%20&amp;%20Manning%20Summary%20with%20Signed%20Status%20and%20INDEX%20-%2008.10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.Gr"/>
      <sheetName val="ALL PLANT CAL SPEC"/>
      <sheetName val="SEGMENT DETAILS "/>
      <sheetName val="Reference"/>
      <sheetName val="SETUP NEW"/>
      <sheetName val="Apex"/>
      <sheetName val="MASTER LIST REGULAR "/>
      <sheetName val="IL "/>
      <sheetName val="PLY"/>
      <sheetName val="Bead"/>
      <sheetName val="BEAD &amp; APEX"/>
      <sheetName val="SIDEWALL"/>
      <sheetName val="BELT"/>
      <sheetName val="TREAD"/>
      <sheetName val="CAP STRIP"/>
      <sheetName val="Filliper"/>
      <sheetName val="MASTER "/>
      <sheetName val="Trial Component req."/>
      <sheetName val="MASTER (PLY3)"/>
      <sheetName val="MASTER (WSW)"/>
      <sheetName val="MASTER (WSW) 3PLY "/>
      <sheetName val="MASTER with ply gum edge"/>
      <sheetName val="SAP ENTRY "/>
      <sheetName val="Tyre weight"/>
      <sheetName val="KM BLANK DETAILS"/>
      <sheetName val="SAP ENTRY  (WSW)"/>
      <sheetName val="REV .DOC NO"/>
      <sheetName val="Bladder"/>
      <sheetName val="Color ID"/>
      <sheetName val="Tooling Tracking"/>
    </sheetNames>
    <sheetDataSet>
      <sheetData sheetId="0"/>
      <sheetData sheetId="1"/>
      <sheetData sheetId="2"/>
      <sheetData sheetId="3">
        <row r="3">
          <cell r="E3" t="str">
            <v>CHECK TYRE</v>
          </cell>
          <cell r="I3" t="str">
            <v>1 PE TURN-UP + 2 STL</v>
          </cell>
        </row>
        <row r="4">
          <cell r="E4" t="str">
            <v>Gate 1</v>
          </cell>
          <cell r="I4" t="str">
            <v>1 PE TURN-UP + 2 STL + 111 CS</v>
          </cell>
        </row>
        <row r="5">
          <cell r="E5" t="str">
            <v>PILOT/CPM RUN</v>
          </cell>
          <cell r="I5" t="str">
            <v>1 PE TURN-UP + 2 STL + 222 CS</v>
          </cell>
        </row>
        <row r="6">
          <cell r="E6" t="str">
            <v>Gate 2</v>
          </cell>
          <cell r="I6" t="str">
            <v>1 PE TURN-UP + 2 STL + 212 CS (C-Layup)</v>
          </cell>
        </row>
        <row r="7">
          <cell r="E7" t="str">
            <v>OE TRIALS</v>
          </cell>
          <cell r="I7" t="str">
            <v>1 PE TURN-UP + 2 STL + 222 CS (C-Layup)</v>
          </cell>
        </row>
        <row r="8">
          <cell r="E8" t="str">
            <v>TEST TYRE</v>
          </cell>
          <cell r="I8" t="str">
            <v>1 PE TURN-UP + 2 STL + 212 CS</v>
          </cell>
        </row>
        <row r="9">
          <cell r="E9" t="str">
            <v>TEST TYRE</v>
          </cell>
          <cell r="I9" t="str">
            <v>1 PE TURN-UP + 2 STL + 101 CS</v>
          </cell>
        </row>
        <row r="10">
          <cell r="E10" t="str">
            <v>Gate 3</v>
          </cell>
          <cell r="I10" t="str">
            <v>2 PE TURN-UP + 2 STL</v>
          </cell>
        </row>
        <row r="11">
          <cell r="E11" t="str">
            <v>TUNING RUN</v>
          </cell>
          <cell r="I11" t="str">
            <v>2 PE TURN-UP + 2 STL + 111 CS</v>
          </cell>
        </row>
        <row r="12">
          <cell r="E12" t="str">
            <v>REGULAR</v>
          </cell>
          <cell r="I12" t="str">
            <v>2 PE TURN-UP + 2 STL + 212 CS</v>
          </cell>
        </row>
        <row r="13">
          <cell r="E13" t="str">
            <v>COSTING ONLY</v>
          </cell>
          <cell r="I13" t="str">
            <v>2 PE TURN-UP + 2 STL + 222 CS</v>
          </cell>
        </row>
        <row r="14">
          <cell r="E14" t="str">
            <v>OBSOLETE</v>
          </cell>
          <cell r="I14" t="str">
            <v>1 PE TURN-UP + 1 PE TURN-DN + 2 STL+ 111 CS</v>
          </cell>
        </row>
        <row r="15">
          <cell r="E15" t="str">
            <v>Mould Transfed to BTP</v>
          </cell>
          <cell r="I15" t="str">
            <v>1 PE TURN-UP + 1 PE TURN-DN + 2 STL+ 212 CS</v>
          </cell>
          <cell r="BE15" t="str">
            <v>TUBETYPE</v>
          </cell>
        </row>
        <row r="16">
          <cell r="I16" t="str">
            <v>1 PE TURN-UP + 1 PE TURN-DN + 2 STL+ 222 CS</v>
          </cell>
          <cell r="BE16" t="str">
            <v>TUBELESS</v>
          </cell>
        </row>
        <row r="17">
          <cell r="I17" t="str">
            <v>2 PE TURN-UP + 2 STL + 212 CS (1-3/4)</v>
          </cell>
        </row>
        <row r="18">
          <cell r="I18" t="str">
            <v>2 NYL TURN-UP + 1 NYL TURN-DN + 2 STL+ 222 CS</v>
          </cell>
        </row>
        <row r="19">
          <cell r="I19" t="str">
            <v>2 PE TURN-UP + 1 PE TURN-DN + 2 STL+ 212 CS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ge 68-72 (2)"/>
      <sheetName val="LTS # 3 - INDEX (3)"/>
      <sheetName val="LTS # 3 - INDEX (2)"/>
      <sheetName val="Norms Area Wise Summary"/>
      <sheetName val="Norms Area Wise Signed Stat (5)"/>
      <sheetName val="Norms Area Wise Signed Stat (4)"/>
      <sheetName val="Norms Area Wise Signed Stat (3)"/>
      <sheetName val="Norms Area Wise Signed Status"/>
      <sheetName val="Manning Area Wise Summary"/>
      <sheetName val="Manning Area Wise Signed Status"/>
      <sheetName val="LTS # 3 - INDEX"/>
      <sheetName val="Page 1 (3)"/>
      <sheetName val="Page 1 (LTS manning)"/>
      <sheetName val="Page 1"/>
      <sheetName val="Page 2 (2)"/>
      <sheetName val="Page 2"/>
      <sheetName val="Page 3"/>
      <sheetName val="Page 4"/>
      <sheetName val="Curing"/>
      <sheetName val="UNI"/>
      <sheetName val="Page 5"/>
      <sheetName val="Qui"/>
      <sheetName val="4rc"/>
      <sheetName val="Page 7 "/>
      <sheetName val="Page 8 "/>
      <sheetName val="Page 9 "/>
      <sheetName val="Page 10 "/>
      <sheetName val="Page 11 "/>
      <sheetName val="Page 12 "/>
      <sheetName val="Page 13 (2)"/>
      <sheetName val="Page 13"/>
      <sheetName val="Page 14 "/>
      <sheetName val="Page 15"/>
      <sheetName val="Page 16 "/>
      <sheetName val="Page 17 "/>
      <sheetName val="Page 18  (2)"/>
      <sheetName val="Page 18 "/>
      <sheetName val="Page 20 "/>
      <sheetName val="Page 19 "/>
      <sheetName val="Page 21 "/>
      <sheetName val="Page 22 "/>
      <sheetName val="Page 23 "/>
      <sheetName val="Page 25  (6)"/>
      <sheetName val="Page 25  (5)"/>
      <sheetName val="Page 25  (4)"/>
      <sheetName val="Page 25  (3)"/>
      <sheetName val="Page 25  (2)"/>
      <sheetName val="Page 24 "/>
      <sheetName val="Page 25 "/>
      <sheetName val="Page 26 "/>
      <sheetName val="Page 27 "/>
      <sheetName val="Page 28 "/>
      <sheetName val="Page 29 "/>
      <sheetName val="Page 30 "/>
      <sheetName val="Page 31-32 "/>
      <sheetName val="Page 33-34"/>
      <sheetName val="Page 35 "/>
      <sheetName val="Page 36 "/>
      <sheetName val="Page 37 "/>
      <sheetName val="Page 38 "/>
      <sheetName val="Page 39 "/>
      <sheetName val="Page 40 "/>
      <sheetName val="Page 41 "/>
      <sheetName val="Page 42 "/>
      <sheetName val="Page 43 "/>
      <sheetName val="Page 44"/>
      <sheetName val="Page 46 "/>
      <sheetName val="Page 45 "/>
      <sheetName val="Page 47 "/>
      <sheetName val="Page 48 "/>
      <sheetName val="Page 49 "/>
      <sheetName val="Page 50 "/>
      <sheetName val="Page 51 "/>
      <sheetName val="Page 52 "/>
      <sheetName val="Page 52  (2)"/>
      <sheetName val="Page 53 "/>
      <sheetName val="Page 54 "/>
      <sheetName val="Page 55 "/>
      <sheetName val="Page 56 "/>
      <sheetName val="Page 57 "/>
      <sheetName val="Page 58 "/>
      <sheetName val="Page 59 "/>
      <sheetName val="Page 60 "/>
      <sheetName val="Page 61 "/>
      <sheetName val="Page 62 "/>
      <sheetName val="Page 63 "/>
      <sheetName val="Page 64 "/>
      <sheetName val="Page 65 "/>
      <sheetName val="Page 66 "/>
      <sheetName val="Page 67"/>
      <sheetName val="Page 68-72"/>
      <sheetName val="Page 73 "/>
      <sheetName val="Page 74 "/>
      <sheetName val="Page 75-76"/>
      <sheetName val="Page 77 "/>
      <sheetName val="Page 78 "/>
      <sheetName val="Page 79 "/>
      <sheetName val="Page 80 "/>
      <sheetName val="Page 81 "/>
      <sheetName val="Page 82 "/>
      <sheetName val="Page 83 "/>
      <sheetName val="Page 84 "/>
      <sheetName val="Page 85 "/>
      <sheetName val="Page 86 "/>
      <sheetName val="Page 87 "/>
      <sheetName val="Page 88 "/>
      <sheetName val="Page 89 "/>
      <sheetName val="Page 90 "/>
      <sheetName val="Page 91 "/>
      <sheetName val="Page 92 "/>
      <sheetName val="Page 93 "/>
      <sheetName val="Page 94 "/>
      <sheetName val="Page 95 "/>
      <sheetName val="Page 9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>
        <row r="7">
          <cell r="B7" t="str">
            <v>1225114012008QUXP0</v>
          </cell>
          <cell r="C7" t="str">
            <v>145 R 12 ULTIMA XPC</v>
          </cell>
          <cell r="D7" t="str">
            <v>R12</v>
          </cell>
          <cell r="F7" t="str">
            <v>P</v>
          </cell>
          <cell r="H7" t="str">
            <v>P</v>
          </cell>
          <cell r="L7" t="str">
            <v>P</v>
          </cell>
          <cell r="M7">
            <v>48</v>
          </cell>
        </row>
        <row r="8">
          <cell r="B8" t="str">
            <v>1D25114012008QXPC0</v>
          </cell>
          <cell r="C8" t="str">
            <v>145R12_ULTIMA XPC_8PR_Q_TT</v>
          </cell>
          <cell r="D8" t="str">
            <v>R12</v>
          </cell>
          <cell r="E8" t="str">
            <v>1412 XPC MM</v>
          </cell>
          <cell r="F8" t="str">
            <v>P</v>
          </cell>
          <cell r="H8" t="str">
            <v>P</v>
          </cell>
          <cell r="L8" t="str">
            <v>P</v>
          </cell>
          <cell r="M8">
            <v>48</v>
          </cell>
        </row>
        <row r="9">
          <cell r="B9" t="str">
            <v>1D25214012008QXPC0</v>
          </cell>
          <cell r="C9" t="str">
            <v>145R12_ULTIMA XPC_8PR_Q_TL</v>
          </cell>
          <cell r="D9" t="str">
            <v>R12</v>
          </cell>
          <cell r="F9" t="str">
            <v>P</v>
          </cell>
          <cell r="G9" t="str">
            <v>P</v>
          </cell>
          <cell r="L9" t="str">
            <v>P</v>
          </cell>
          <cell r="M9">
            <v>48</v>
          </cell>
        </row>
        <row r="10">
          <cell r="B10" t="str">
            <v>1D25214012008QXPCM</v>
          </cell>
          <cell r="C10" t="str">
            <v>145R12LT Ultima XPC_ TL_PLT_ M&amp;M</v>
          </cell>
          <cell r="D10" t="str">
            <v>R12</v>
          </cell>
          <cell r="E10" t="str">
            <v>1452 XPC MM</v>
          </cell>
          <cell r="F10" t="str">
            <v>P</v>
          </cell>
          <cell r="H10" t="str">
            <v>P</v>
          </cell>
          <cell r="L10" t="str">
            <v>P</v>
          </cell>
          <cell r="M10">
            <v>48</v>
          </cell>
        </row>
        <row r="11">
          <cell r="B11" t="str">
            <v>1D25214012008QXPCT</v>
          </cell>
          <cell r="C11" t="str">
            <v>LT 145R12_ULTIMA XPC_86Q TL</v>
          </cell>
          <cell r="D11" t="str">
            <v>R12</v>
          </cell>
          <cell r="E11" t="str">
            <v>1402 XPC TATA</v>
          </cell>
          <cell r="F11" t="str">
            <v>P</v>
          </cell>
          <cell r="H11" t="str">
            <v>P</v>
          </cell>
          <cell r="L11" t="str">
            <v>P</v>
          </cell>
          <cell r="M11">
            <v>48</v>
          </cell>
        </row>
        <row r="12">
          <cell r="B12" t="str">
            <v>1325214612069TUNX0</v>
          </cell>
          <cell r="C12" t="str">
            <v>145/70 R12_ULTIMA NXT _69_T_TL</v>
          </cell>
          <cell r="D12" t="str">
            <v>R12</v>
          </cell>
          <cell r="E12" t="str">
            <v>1472 NXT</v>
          </cell>
          <cell r="F12" t="str">
            <v>P</v>
          </cell>
          <cell r="J12" t="str">
            <v>P</v>
          </cell>
          <cell r="M12">
            <v>46</v>
          </cell>
        </row>
        <row r="13">
          <cell r="B13" t="str">
            <v>1325114612069TUNX0</v>
          </cell>
          <cell r="C13" t="str">
            <v>145/70 R12_ULTIMA NXT _69_T_TT</v>
          </cell>
          <cell r="D13" t="str">
            <v>R12</v>
          </cell>
          <cell r="E13" t="str">
            <v>1432 NXT</v>
          </cell>
          <cell r="F13" t="str">
            <v>P</v>
          </cell>
          <cell r="J13" t="str">
            <v>P</v>
          </cell>
          <cell r="M13">
            <v>46</v>
          </cell>
        </row>
        <row r="14">
          <cell r="B14" t="str">
            <v>1325214812074TUNX0</v>
          </cell>
          <cell r="C14" t="str">
            <v>145/80 R12_ULTIMA NXT _74_T_TL</v>
          </cell>
          <cell r="D14" t="str">
            <v>R12</v>
          </cell>
          <cell r="E14" t="str">
            <v>1482 NXT</v>
          </cell>
          <cell r="F14" t="str">
            <v>P</v>
          </cell>
          <cell r="J14" t="str">
            <v>P</v>
          </cell>
          <cell r="M14">
            <v>46</v>
          </cell>
        </row>
        <row r="15">
          <cell r="B15" t="str">
            <v>1325114812074TUNX0</v>
          </cell>
          <cell r="C15" t="str">
            <v>145/80 R 12_ULTIMA NXT _74_T_TT</v>
          </cell>
          <cell r="D15" t="str">
            <v>R12</v>
          </cell>
          <cell r="E15" t="str">
            <v>1462 NXT</v>
          </cell>
          <cell r="F15" t="str">
            <v>P</v>
          </cell>
          <cell r="J15" t="str">
            <v>P</v>
          </cell>
          <cell r="M15">
            <v>46</v>
          </cell>
        </row>
        <row r="16">
          <cell r="B16" t="str">
            <v>1325214812074TUNE1</v>
          </cell>
          <cell r="C16" t="str">
            <v>145/80 R 12_ULTIMA NEO_74_T_TL</v>
          </cell>
          <cell r="D16" t="str">
            <v>R12</v>
          </cell>
          <cell r="E16" t="str">
            <v>1492 NEO HYU</v>
          </cell>
          <cell r="F16" t="str">
            <v>P</v>
          </cell>
          <cell r="J16" t="str">
            <v>P</v>
          </cell>
          <cell r="M16">
            <v>46</v>
          </cell>
        </row>
        <row r="17">
          <cell r="B17" t="str">
            <v>1325214812074TULT0</v>
          </cell>
          <cell r="C17" t="str">
            <v>145/80 R12_ULTIMA XP_74_T_TL</v>
          </cell>
          <cell r="D17" t="str">
            <v>R12</v>
          </cell>
          <cell r="F17" t="str">
            <v>P</v>
          </cell>
          <cell r="J17" t="str">
            <v>P</v>
          </cell>
          <cell r="M17">
            <v>46</v>
          </cell>
        </row>
        <row r="18">
          <cell r="B18" t="str">
            <v>1225215Z12008RXC10</v>
          </cell>
          <cell r="C18" t="str">
            <v>155 R12C _ULTIMA XPC1_8 PR_88/86 R TL</v>
          </cell>
          <cell r="D18" t="str">
            <v>R12</v>
          </cell>
          <cell r="E18" t="str">
            <v>1512 XPC1</v>
          </cell>
          <cell r="F18" t="str">
            <v>P</v>
          </cell>
          <cell r="H18" t="str">
            <v>P</v>
          </cell>
          <cell r="L18" t="str">
            <v>P</v>
          </cell>
          <cell r="M18">
            <v>48</v>
          </cell>
        </row>
        <row r="19">
          <cell r="B19" t="str">
            <v>1325216612077TUSP0</v>
          </cell>
          <cell r="C19" t="str">
            <v>165/70R12 _ULTIMA SPORT_77_T_TL</v>
          </cell>
          <cell r="D19" t="str">
            <v>R12</v>
          </cell>
          <cell r="E19" t="str">
            <v>1672 SPT</v>
          </cell>
          <cell r="F19" t="str">
            <v>P</v>
          </cell>
          <cell r="J19" t="str">
            <v>P</v>
          </cell>
          <cell r="M19">
            <v>46</v>
          </cell>
        </row>
        <row r="20">
          <cell r="B20" t="str">
            <v>1325216612077HUSP0</v>
          </cell>
          <cell r="C20" t="str">
            <v>165/70R12 ULTIMA SPORT 77H</v>
          </cell>
          <cell r="D20" t="str">
            <v>R12</v>
          </cell>
          <cell r="F20" t="str">
            <v>P</v>
          </cell>
          <cell r="J20" t="str">
            <v>P</v>
          </cell>
          <cell r="M20">
            <v>46</v>
          </cell>
        </row>
        <row r="21">
          <cell r="B21" t="str">
            <v>1325217612080HUNE0</v>
          </cell>
          <cell r="C21" t="str">
            <v>175/70R12 ULTIMA NEO 80H TL</v>
          </cell>
          <cell r="D21" t="str">
            <v>R12</v>
          </cell>
          <cell r="E21" t="str">
            <v>1772 NEO</v>
          </cell>
          <cell r="F21" t="str">
            <v>P</v>
          </cell>
          <cell r="J21" t="str">
            <v>P</v>
          </cell>
          <cell r="M21">
            <v>46</v>
          </cell>
        </row>
        <row r="22">
          <cell r="B22" t="str">
            <v>1325114613071TUNX0</v>
          </cell>
          <cell r="C22" t="str">
            <v>145/70 R 13_ULTIMA NXT _71_T_TT</v>
          </cell>
          <cell r="D22" t="str">
            <v>R13</v>
          </cell>
          <cell r="F22" t="str">
            <v>P</v>
          </cell>
          <cell r="J22" t="str">
            <v>P</v>
          </cell>
          <cell r="M22">
            <v>46</v>
          </cell>
        </row>
        <row r="23">
          <cell r="B23" t="str">
            <v>1325214613071TUNX0</v>
          </cell>
          <cell r="C23" t="str">
            <v>145/70 R 13_ULTIMA NXT _71_T_TL</v>
          </cell>
          <cell r="D23" t="str">
            <v>R13</v>
          </cell>
          <cell r="F23" t="str">
            <v>P</v>
          </cell>
          <cell r="J23" t="str">
            <v>P</v>
          </cell>
          <cell r="M23">
            <v>46</v>
          </cell>
        </row>
        <row r="24">
          <cell r="B24" t="str">
            <v>1325214813075SUNX0</v>
          </cell>
          <cell r="C24" t="str">
            <v>145/80 R 13_ULTIMA NXT _75_S_TL</v>
          </cell>
          <cell r="D24" t="str">
            <v>R13</v>
          </cell>
          <cell r="F24" t="str">
            <v>P</v>
          </cell>
          <cell r="J24" t="str">
            <v>P</v>
          </cell>
          <cell r="M24">
            <v>46</v>
          </cell>
        </row>
        <row r="25">
          <cell r="B25" t="str">
            <v>1325214813075TTMX0</v>
          </cell>
          <cell r="C25" t="str">
            <v>145/80 R13_TAXIMAX_75 T TL</v>
          </cell>
          <cell r="D25" t="str">
            <v>R13</v>
          </cell>
          <cell r="F25" t="str">
            <v>P</v>
          </cell>
          <cell r="J25" t="str">
            <v>P</v>
          </cell>
          <cell r="M25">
            <v>46</v>
          </cell>
        </row>
        <row r="26">
          <cell r="B26" t="str">
            <v>1325214813075STMX0</v>
          </cell>
          <cell r="C26" t="str">
            <v>145/80 R13_TAXIMAX_75 S TL</v>
          </cell>
          <cell r="D26" t="str">
            <v>R13</v>
          </cell>
          <cell r="E26" t="str">
            <v>1453 MAX</v>
          </cell>
          <cell r="F26" t="str">
            <v>P</v>
          </cell>
          <cell r="J26" t="str">
            <v>P</v>
          </cell>
          <cell r="M26">
            <v>46</v>
          </cell>
        </row>
        <row r="27">
          <cell r="B27" t="str">
            <v>1325214813075SETR0</v>
          </cell>
          <cell r="C27" t="str">
            <v>145/80R13_ELANZO TOURING_75S TL</v>
          </cell>
          <cell r="D27" t="str">
            <v>R13</v>
          </cell>
          <cell r="E27" t="str">
            <v>1493 EZO TOU</v>
          </cell>
          <cell r="F27" t="str">
            <v>P</v>
          </cell>
          <cell r="J27" t="str">
            <v>P</v>
          </cell>
          <cell r="M27">
            <v>46</v>
          </cell>
        </row>
        <row r="28">
          <cell r="B28" t="str">
            <v>1325214813075SUHL0</v>
          </cell>
          <cell r="C28" t="str">
            <v>145/80 R13_ULTIMA HI^LIFE_75 S TL</v>
          </cell>
          <cell r="D28" t="str">
            <v>R13</v>
          </cell>
          <cell r="E28" t="str">
            <v>1483 UHL</v>
          </cell>
          <cell r="F28" t="str">
            <v>P</v>
          </cell>
          <cell r="J28" t="str">
            <v>P</v>
          </cell>
          <cell r="M28">
            <v>46</v>
          </cell>
        </row>
        <row r="29">
          <cell r="B29" t="str">
            <v>1225215013008SXC10</v>
          </cell>
          <cell r="C29" t="str">
            <v>155R13_ULTIMA XPC1_90/89S_TL</v>
          </cell>
          <cell r="D29" t="str">
            <v>R13</v>
          </cell>
          <cell r="E29" t="str">
            <v>1513 XPC1 MSIL</v>
          </cell>
          <cell r="F29" t="str">
            <v>P</v>
          </cell>
          <cell r="H29" t="str">
            <v>P</v>
          </cell>
          <cell r="J29" t="str">
            <v>P</v>
          </cell>
          <cell r="M29">
            <v>48</v>
          </cell>
        </row>
        <row r="30">
          <cell r="B30" t="str">
            <v>1325215513073TUNE0</v>
          </cell>
          <cell r="C30" t="str">
            <v>155/65 R 13_ULTIMA NEO_73_T_TL</v>
          </cell>
          <cell r="D30" t="str">
            <v>R13</v>
          </cell>
          <cell r="E30" t="str">
            <v>1513 NEO</v>
          </cell>
          <cell r="F30" t="str">
            <v>P</v>
          </cell>
          <cell r="J30" t="str">
            <v>P</v>
          </cell>
          <cell r="M30">
            <v>46</v>
          </cell>
        </row>
        <row r="31">
          <cell r="B31" t="str">
            <v>1325115513073TTOR0</v>
          </cell>
          <cell r="C31" t="str">
            <v>155/65 R 13_TORNADO_73_T_TT</v>
          </cell>
          <cell r="D31" t="str">
            <v>R13</v>
          </cell>
          <cell r="F31" t="str">
            <v>P</v>
          </cell>
          <cell r="J31" t="str">
            <v>P</v>
          </cell>
          <cell r="M31">
            <v>46</v>
          </cell>
        </row>
        <row r="32">
          <cell r="B32" t="str">
            <v>1325215513073TTOR0</v>
          </cell>
          <cell r="C32" t="str">
            <v>155/65 R 13_TORNADO_73_T_TL</v>
          </cell>
          <cell r="D32" t="str">
            <v>R13</v>
          </cell>
          <cell r="F32" t="str">
            <v>P</v>
          </cell>
          <cell r="J32" t="str">
            <v>P</v>
          </cell>
          <cell r="M32">
            <v>46</v>
          </cell>
        </row>
        <row r="33">
          <cell r="B33" t="str">
            <v>1325215613075TUNX0</v>
          </cell>
          <cell r="C33" t="str">
            <v>155/70 R 13_ULTIMA NXT _75_T_TL</v>
          </cell>
          <cell r="D33" t="str">
            <v>R13</v>
          </cell>
          <cell r="F33" t="str">
            <v>P</v>
          </cell>
          <cell r="J33" t="str">
            <v>P</v>
          </cell>
          <cell r="M33">
            <v>46</v>
          </cell>
        </row>
        <row r="34">
          <cell r="B34" t="str">
            <v>1325215613075TUNE1</v>
          </cell>
          <cell r="C34" t="str">
            <v>155/70 R 13_ULTIMA NEO_75_T_TL</v>
          </cell>
          <cell r="D34" t="str">
            <v>R13</v>
          </cell>
          <cell r="E34" t="str">
            <v>1543 NEO</v>
          </cell>
          <cell r="F34" t="str">
            <v>P</v>
          </cell>
          <cell r="J34" t="str">
            <v>P</v>
          </cell>
          <cell r="M34">
            <v>46</v>
          </cell>
        </row>
        <row r="35">
          <cell r="B35" t="str">
            <v>1325115613075TUNX0</v>
          </cell>
          <cell r="C35" t="str">
            <v>155/70 R 13 ULTIMA NXT 75T T</v>
          </cell>
          <cell r="D35" t="str">
            <v>R13</v>
          </cell>
          <cell r="F35" t="str">
            <v>P</v>
          </cell>
          <cell r="J35" t="str">
            <v>P</v>
          </cell>
          <cell r="M35">
            <v>46</v>
          </cell>
        </row>
        <row r="36">
          <cell r="B36" t="str">
            <v>1325215613075TUHL0</v>
          </cell>
          <cell r="C36" t="str">
            <v>155/70R13_ULTIMA HI^LIFE_75T TL</v>
          </cell>
          <cell r="D36" t="str">
            <v>R13</v>
          </cell>
          <cell r="F36" t="str">
            <v>P</v>
          </cell>
          <cell r="J36" t="str">
            <v>P</v>
          </cell>
          <cell r="M36">
            <v>46</v>
          </cell>
        </row>
        <row r="37">
          <cell r="B37" t="str">
            <v>1325215813079TUNE0</v>
          </cell>
          <cell r="C37" t="str">
            <v>155/80 R 13_ULTIMA NEO_79_T_TL</v>
          </cell>
          <cell r="D37" t="str">
            <v>R13</v>
          </cell>
          <cell r="E37" t="str">
            <v>1593 NEO</v>
          </cell>
          <cell r="F37" t="str">
            <v>P</v>
          </cell>
          <cell r="J37" t="str">
            <v>P</v>
          </cell>
          <cell r="M37">
            <v>46</v>
          </cell>
        </row>
        <row r="38">
          <cell r="B38" t="str">
            <v>1325215813074TVEC0</v>
          </cell>
          <cell r="C38" t="str">
            <v>155/80 R 13_VECTRA_79_S_TL</v>
          </cell>
          <cell r="D38" t="str">
            <v>R13</v>
          </cell>
          <cell r="F38" t="str">
            <v>P</v>
          </cell>
          <cell r="M38">
            <v>38</v>
          </cell>
        </row>
        <row r="39">
          <cell r="B39" t="str">
            <v>1325215813079TUNE2</v>
          </cell>
          <cell r="C39" t="str">
            <v>155/80R13 _ULTIMA NEO_79_T_TL OE</v>
          </cell>
          <cell r="D39" t="str">
            <v>R13</v>
          </cell>
          <cell r="E39" t="str">
            <v>1533 NEO TATA</v>
          </cell>
          <cell r="F39" t="str">
            <v>P</v>
          </cell>
          <cell r="J39" t="str">
            <v>P</v>
          </cell>
          <cell r="M39">
            <v>46</v>
          </cell>
        </row>
        <row r="40">
          <cell r="B40" t="str">
            <v>1325215813079TUNE3</v>
          </cell>
          <cell r="C40" t="str">
            <v>155/80R13 Ultima Neo 79T MSIL YL7 BSVI T</v>
          </cell>
          <cell r="D40" t="str">
            <v>R13</v>
          </cell>
          <cell r="E40" t="str">
            <v>1503 NEO MSIL</v>
          </cell>
          <cell r="F40" t="str">
            <v>P</v>
          </cell>
          <cell r="J40" t="str">
            <v>P</v>
          </cell>
          <cell r="M40">
            <v>46</v>
          </cell>
        </row>
        <row r="41">
          <cell r="B41" t="str">
            <v>1325215813079SVECO</v>
          </cell>
          <cell r="C41" t="str">
            <v>155/80R13 VECTRA TL 79S MSIL</v>
          </cell>
          <cell r="D41" t="str">
            <v>R13</v>
          </cell>
          <cell r="E41" t="str">
            <v>1583 VEC NISSAN</v>
          </cell>
          <cell r="F41" t="str">
            <v>P</v>
          </cell>
          <cell r="M41">
            <v>38</v>
          </cell>
        </row>
        <row r="42">
          <cell r="B42" t="str">
            <v>1325215813079TTMX0</v>
          </cell>
          <cell r="C42" t="str">
            <v>155/80 R13_TAXIMAX_79 T TL</v>
          </cell>
          <cell r="D42" t="str">
            <v>R13</v>
          </cell>
          <cell r="E42" t="str">
            <v>1553 MAX</v>
          </cell>
          <cell r="F42" t="str">
            <v>P</v>
          </cell>
          <cell r="J42" t="str">
            <v>P</v>
          </cell>
          <cell r="M42">
            <v>46</v>
          </cell>
        </row>
        <row r="43">
          <cell r="B43" t="str">
            <v>1325215813079TUNE5</v>
          </cell>
          <cell r="C43" t="str">
            <v>155/80R13_ULTIMA NEO_79T TL_TML LRR</v>
          </cell>
          <cell r="D43" t="str">
            <v>R13</v>
          </cell>
          <cell r="E43" t="str">
            <v>1583 NEO TATA</v>
          </cell>
          <cell r="F43" t="str">
            <v>P</v>
          </cell>
          <cell r="J43" t="str">
            <v>P</v>
          </cell>
          <cell r="M43">
            <v>46</v>
          </cell>
        </row>
        <row r="44">
          <cell r="B44" t="str">
            <v>1325116513077TTOR0</v>
          </cell>
          <cell r="C44" t="str">
            <v>165/65 R 13_TORNADO_77_T_TT</v>
          </cell>
          <cell r="D44" t="str">
            <v>R13</v>
          </cell>
          <cell r="F44" t="str">
            <v>P</v>
          </cell>
          <cell r="J44" t="str">
            <v>P</v>
          </cell>
          <cell r="M44">
            <v>46</v>
          </cell>
        </row>
        <row r="45">
          <cell r="B45" t="str">
            <v>1325216513077TTOR0</v>
          </cell>
          <cell r="C45" t="str">
            <v>165/65 R 13_TORNADO_77_T_TL</v>
          </cell>
          <cell r="D45" t="str">
            <v>R13</v>
          </cell>
          <cell r="F45" t="str">
            <v>P</v>
          </cell>
          <cell r="J45" t="str">
            <v>P</v>
          </cell>
          <cell r="M45">
            <v>46</v>
          </cell>
        </row>
        <row r="46">
          <cell r="B46" t="str">
            <v>1325216513077TUHL0</v>
          </cell>
          <cell r="C46" t="str">
            <v>165/65R13_ ULTIMA HI^LIFE _77 T TL</v>
          </cell>
          <cell r="D46" t="str">
            <v>R13</v>
          </cell>
          <cell r="F46" t="str">
            <v>P</v>
          </cell>
          <cell r="J46" t="str">
            <v>P</v>
          </cell>
          <cell r="M46">
            <v>46</v>
          </cell>
        </row>
        <row r="47">
          <cell r="B47" t="str">
            <v>1325216613079HUNE0</v>
          </cell>
          <cell r="C47" t="str">
            <v>165/70R13 ULTIMA NEO 79H TL</v>
          </cell>
          <cell r="D47" t="str">
            <v>R13</v>
          </cell>
          <cell r="E47" t="str">
            <v>1673 NEO</v>
          </cell>
          <cell r="F47" t="str">
            <v>P</v>
          </cell>
          <cell r="J47" t="str">
            <v>P</v>
          </cell>
          <cell r="M47">
            <v>46</v>
          </cell>
        </row>
        <row r="48">
          <cell r="B48" t="str">
            <v>1325217613082TUNE0</v>
          </cell>
          <cell r="C48" t="str">
            <v>175/70R13 ULTIMA NEO 82T TL</v>
          </cell>
          <cell r="D48" t="str">
            <v>R13</v>
          </cell>
          <cell r="E48" t="str">
            <v>1773 NEO</v>
          </cell>
          <cell r="F48" t="str">
            <v>P</v>
          </cell>
          <cell r="J48" t="str">
            <v>P</v>
          </cell>
          <cell r="M48">
            <v>46</v>
          </cell>
        </row>
        <row r="49">
          <cell r="B49" t="str">
            <v>1325218613086HUNE0</v>
          </cell>
          <cell r="C49" t="str">
            <v>185/70R13 ULTIMA NEO 86H TL</v>
          </cell>
          <cell r="D49" t="str">
            <v>R13</v>
          </cell>
          <cell r="E49" t="str">
            <v>1873 NEO</v>
          </cell>
          <cell r="F49" t="str">
            <v>P</v>
          </cell>
          <cell r="J49" t="str">
            <v>P</v>
          </cell>
          <cell r="M49">
            <v>46</v>
          </cell>
        </row>
        <row r="50">
          <cell r="B50" t="str">
            <v>1325215514075TUNE0</v>
          </cell>
          <cell r="C50" t="str">
            <v>155/65 R14_ULTIMA NEO_75_T_TL</v>
          </cell>
          <cell r="D50" t="str">
            <v>R14</v>
          </cell>
          <cell r="E50" t="str">
            <v>1564 NEO</v>
          </cell>
          <cell r="F50" t="str">
            <v>P</v>
          </cell>
          <cell r="J50" t="str">
            <v>P</v>
          </cell>
          <cell r="M50">
            <v>48</v>
          </cell>
        </row>
        <row r="51">
          <cell r="B51" t="str">
            <v>1325215614077TVEC0</v>
          </cell>
          <cell r="C51" t="str">
            <v>155/70 R 14_VECTRA_77_T_TL</v>
          </cell>
          <cell r="D51" t="str">
            <v>R14</v>
          </cell>
          <cell r="F51" t="str">
            <v>P</v>
          </cell>
          <cell r="J51" t="str">
            <v>P</v>
          </cell>
          <cell r="M51">
            <v>48</v>
          </cell>
        </row>
        <row r="52">
          <cell r="B52" t="str">
            <v>1325216814008QXPC0</v>
          </cell>
          <cell r="C52" t="str">
            <v>165R14_ULTIMA XPC_8PR_97/95Q_TL(NALT)</v>
          </cell>
          <cell r="D52" t="str">
            <v>R14</v>
          </cell>
          <cell r="E52" t="str">
            <v>1614 XPC NISSAN</v>
          </cell>
          <cell r="F52" t="str">
            <v>P</v>
          </cell>
          <cell r="H52" t="str">
            <v>P</v>
          </cell>
          <cell r="J52" t="str">
            <v>P</v>
          </cell>
          <cell r="M52">
            <v>48</v>
          </cell>
        </row>
        <row r="53">
          <cell r="B53" t="str">
            <v>1325116814008QXPC0</v>
          </cell>
          <cell r="C53" t="str">
            <v>165R14 LT 8 PR 97/95Q ULTIMA XPC TUBETYP</v>
          </cell>
          <cell r="D53" t="str">
            <v>R14</v>
          </cell>
          <cell r="F53" t="str">
            <v>P</v>
          </cell>
          <cell r="H53" t="str">
            <v>P</v>
          </cell>
          <cell r="J53" t="str">
            <v>P</v>
          </cell>
          <cell r="M53">
            <v>48</v>
          </cell>
        </row>
        <row r="54">
          <cell r="B54" t="str">
            <v>1D25216814008QXPCA</v>
          </cell>
          <cell r="C54" t="str">
            <v>165R14LT ULTIMA XPC_ TL_PLT_ AL</v>
          </cell>
          <cell r="D54" t="str">
            <v>R14</v>
          </cell>
          <cell r="F54" t="str">
            <v>P</v>
          </cell>
          <cell r="H54" t="str">
            <v>P</v>
          </cell>
          <cell r="L54" t="str">
            <v>P</v>
          </cell>
          <cell r="M54">
            <v>48</v>
          </cell>
        </row>
        <row r="55">
          <cell r="B55" t="str">
            <v>1D25116814008QXPC0</v>
          </cell>
          <cell r="C55" t="str">
            <v>165R14_ULTIMA XPC_8PR_97/95Q_TT(TML)</v>
          </cell>
          <cell r="D55" t="str">
            <v>R14</v>
          </cell>
          <cell r="E55" t="str">
            <v>1624 XPC TATA</v>
          </cell>
          <cell r="F55" t="str">
            <v>P</v>
          </cell>
          <cell r="H55" t="str">
            <v>P</v>
          </cell>
          <cell r="L55" t="str">
            <v>P</v>
          </cell>
          <cell r="M55">
            <v>48</v>
          </cell>
        </row>
        <row r="56">
          <cell r="B56" t="str">
            <v>1D25216814008QXPC0</v>
          </cell>
          <cell r="C56" t="str">
            <v>165R14_ULTIMA XPC_8PR_97/95Q_TL(TML)</v>
          </cell>
          <cell r="D56" t="str">
            <v>R14</v>
          </cell>
          <cell r="E56" t="str">
            <v>1634 XPC TATA</v>
          </cell>
          <cell r="F56" t="str">
            <v>P</v>
          </cell>
          <cell r="H56" t="str">
            <v>P</v>
          </cell>
          <cell r="L56" t="str">
            <v>P</v>
          </cell>
          <cell r="M56">
            <v>48</v>
          </cell>
        </row>
        <row r="57">
          <cell r="B57" t="str">
            <v>1325216514079SUSP0</v>
          </cell>
          <cell r="C57" t="str">
            <v>165/65 R14_ULTIMA SPORT_79_S_TL</v>
          </cell>
          <cell r="D57" t="str">
            <v>R14</v>
          </cell>
          <cell r="E57" t="str">
            <v>1664 SPT</v>
          </cell>
          <cell r="F57" t="str">
            <v>P</v>
          </cell>
          <cell r="J57" t="str">
            <v>P</v>
          </cell>
          <cell r="M57">
            <v>48</v>
          </cell>
        </row>
        <row r="58">
          <cell r="B58" t="str">
            <v>1325216514079TETR0</v>
          </cell>
          <cell r="C58" t="str">
            <v>165/65 R14_ELANZO TOURING_79 T TL</v>
          </cell>
          <cell r="D58" t="str">
            <v>R14</v>
          </cell>
          <cell r="E58" t="str">
            <v>1604 EZO TOU</v>
          </cell>
          <cell r="F58" t="str">
            <v>P</v>
          </cell>
          <cell r="J58" t="str">
            <v>P</v>
          </cell>
          <cell r="M58">
            <v>48</v>
          </cell>
        </row>
        <row r="59">
          <cell r="B59" t="str">
            <v>1325216514079TUTR0</v>
          </cell>
          <cell r="C59" t="str">
            <v>165/65R14_UX TOURING_79T TL</v>
          </cell>
          <cell r="D59" t="str">
            <v>R14</v>
          </cell>
          <cell r="F59" t="str">
            <v>P</v>
          </cell>
          <cell r="J59" t="str">
            <v>P</v>
          </cell>
          <cell r="M59">
            <v>48</v>
          </cell>
        </row>
        <row r="60">
          <cell r="B60" t="str">
            <v>1325216514079TTMX0</v>
          </cell>
          <cell r="C60" t="str">
            <v>165/65 R14_TAXIMAX_79 T TL</v>
          </cell>
          <cell r="D60" t="str">
            <v>R14</v>
          </cell>
          <cell r="E60" t="str">
            <v>1644 MAX</v>
          </cell>
          <cell r="F60" t="str">
            <v>P</v>
          </cell>
          <cell r="J60" t="str">
            <v>P</v>
          </cell>
          <cell r="M60">
            <v>48</v>
          </cell>
        </row>
        <row r="61">
          <cell r="B61" t="str">
            <v>1325216614081STMX0</v>
          </cell>
          <cell r="C61" t="str">
            <v>165/70R14_ TAXIMAX _81 S TL</v>
          </cell>
          <cell r="D61" t="str">
            <v>R14</v>
          </cell>
          <cell r="E61" t="str">
            <v>1674 MAX</v>
          </cell>
          <cell r="F61" t="str">
            <v>P</v>
          </cell>
          <cell r="J61" t="str">
            <v>P</v>
          </cell>
          <cell r="M61">
            <v>48</v>
          </cell>
        </row>
        <row r="62">
          <cell r="B62" t="str">
            <v>1325216614081SVEC0</v>
          </cell>
          <cell r="C62" t="str">
            <v>165/70 R14_VECTRA_81_S_TL</v>
          </cell>
          <cell r="D62" t="str">
            <v>R14</v>
          </cell>
          <cell r="F62" t="str">
            <v>P</v>
          </cell>
          <cell r="J62" t="str">
            <v>P</v>
          </cell>
          <cell r="M62">
            <v>48</v>
          </cell>
        </row>
        <row r="63">
          <cell r="B63" t="str">
            <v>1325216614081SUTR0</v>
          </cell>
          <cell r="C63" t="str">
            <v>165/70R14_ UX TOURING _81 S TL</v>
          </cell>
          <cell r="D63" t="str">
            <v>R14</v>
          </cell>
          <cell r="F63" t="str">
            <v>P</v>
          </cell>
          <cell r="J63" t="str">
            <v>P</v>
          </cell>
          <cell r="M63">
            <v>48</v>
          </cell>
        </row>
        <row r="64">
          <cell r="B64" t="str">
            <v>1325216814085STOR0</v>
          </cell>
          <cell r="C64" t="str">
            <v>165/80 R14_TORNADO_85_S_TL</v>
          </cell>
          <cell r="D64" t="str">
            <v>R14</v>
          </cell>
          <cell r="E64" t="str">
            <v>1684 TOR MARUTI</v>
          </cell>
          <cell r="F64" t="str">
            <v>P</v>
          </cell>
          <cell r="M64">
            <v>38</v>
          </cell>
        </row>
        <row r="65">
          <cell r="B65" t="str">
            <v>1325216814085TUSP0</v>
          </cell>
          <cell r="C65" t="str">
            <v>165/80 R14_ULTIMA SPORT_85_T_TL</v>
          </cell>
          <cell r="D65" t="str">
            <v>R14</v>
          </cell>
          <cell r="E65" t="str">
            <v>1684 SPT</v>
          </cell>
          <cell r="F65" t="str">
            <v>P</v>
          </cell>
          <cell r="J65" t="str">
            <v>P</v>
          </cell>
          <cell r="M65">
            <v>48</v>
          </cell>
        </row>
        <row r="66">
          <cell r="B66" t="str">
            <v>1325216814085SETR0</v>
          </cell>
          <cell r="C66" t="str">
            <v>165/80R14_ELANZO TOURING_85 S TL</v>
          </cell>
          <cell r="D66" t="str">
            <v>R14</v>
          </cell>
          <cell r="E66" t="str">
            <v>1654 EZO TOU</v>
          </cell>
          <cell r="F66" t="str">
            <v>P</v>
          </cell>
          <cell r="H66" t="str">
            <v>P</v>
          </cell>
          <cell r="J66" t="str">
            <v>P</v>
          </cell>
          <cell r="M66">
            <v>48</v>
          </cell>
        </row>
        <row r="67">
          <cell r="B67" t="str">
            <v>1325217514082HVEC0</v>
          </cell>
          <cell r="C67" t="str">
            <v>175/65 R 14_VECTRA_82_H_TL</v>
          </cell>
          <cell r="D67" t="str">
            <v>R14</v>
          </cell>
          <cell r="E67" t="str">
            <v>1754 VEC</v>
          </cell>
          <cell r="F67" t="str">
            <v>P</v>
          </cell>
          <cell r="J67" t="str">
            <v>P</v>
          </cell>
          <cell r="M67">
            <v>48</v>
          </cell>
        </row>
        <row r="68">
          <cell r="B68" t="str">
            <v>1325217514082TVEC0</v>
          </cell>
          <cell r="C68" t="str">
            <v>175/65 R 14_VECTRA_82_T_TL</v>
          </cell>
          <cell r="D68" t="str">
            <v>R14</v>
          </cell>
          <cell r="F68" t="str">
            <v>P</v>
          </cell>
          <cell r="J68" t="str">
            <v>P</v>
          </cell>
          <cell r="M68">
            <v>48</v>
          </cell>
        </row>
        <row r="69">
          <cell r="B69" t="str">
            <v>1325217514082TETR0</v>
          </cell>
          <cell r="C69" t="str">
            <v>175/65R14_ELANZO TOURING_82 T TL</v>
          </cell>
          <cell r="D69" t="str">
            <v>R14</v>
          </cell>
          <cell r="E69" t="str">
            <v>1724 EZO TOU</v>
          </cell>
          <cell r="F69" t="str">
            <v>P</v>
          </cell>
          <cell r="H69" t="str">
            <v>P</v>
          </cell>
          <cell r="J69" t="str">
            <v>P</v>
          </cell>
          <cell r="M69">
            <v>48</v>
          </cell>
        </row>
        <row r="70">
          <cell r="B70" t="str">
            <v>1325217514082TUTR0</v>
          </cell>
          <cell r="C70" t="str">
            <v>175/65R14_UX TOURING_82T TL</v>
          </cell>
          <cell r="D70" t="str">
            <v>R14</v>
          </cell>
          <cell r="F70" t="str">
            <v>P</v>
          </cell>
          <cell r="H70" t="str">
            <v>P</v>
          </cell>
          <cell r="J70" t="str">
            <v>P</v>
          </cell>
          <cell r="M70">
            <v>48</v>
          </cell>
        </row>
        <row r="71">
          <cell r="B71" t="str">
            <v>1325217614095QXPC0</v>
          </cell>
          <cell r="C71" t="str">
            <v>175/70 R 14C_ULTIMA XPC_95/93_Q_TL</v>
          </cell>
          <cell r="D71" t="str">
            <v>R14</v>
          </cell>
          <cell r="E71" t="str">
            <v>1714 XPC GM</v>
          </cell>
          <cell r="F71" t="str">
            <v>P</v>
          </cell>
          <cell r="H71" t="str">
            <v>P</v>
          </cell>
          <cell r="J71" t="str">
            <v>P</v>
          </cell>
          <cell r="M71">
            <v>48</v>
          </cell>
        </row>
        <row r="72">
          <cell r="B72" t="str">
            <v>1325217614084TVEC0</v>
          </cell>
          <cell r="C72" t="str">
            <v>175/70 R 14_VECTRA_84_T_TL</v>
          </cell>
          <cell r="D72" t="str">
            <v>R14</v>
          </cell>
          <cell r="F72" t="str">
            <v>P</v>
          </cell>
          <cell r="H72" t="str">
            <v>P</v>
          </cell>
          <cell r="J72" t="str">
            <v>P</v>
          </cell>
          <cell r="M72">
            <v>48</v>
          </cell>
        </row>
        <row r="73">
          <cell r="B73" t="str">
            <v>1325217614084TVECE</v>
          </cell>
          <cell r="C73" t="str">
            <v>175/70R14_VECTRA_84 T TL_BRAZIL EXPORT</v>
          </cell>
          <cell r="D73" t="str">
            <v>R14</v>
          </cell>
          <cell r="E73" t="str">
            <v>1774 VEC</v>
          </cell>
          <cell r="F73" t="str">
            <v>P</v>
          </cell>
          <cell r="J73" t="str">
            <v>P</v>
          </cell>
          <cell r="M73">
            <v>48</v>
          </cell>
        </row>
        <row r="74">
          <cell r="B74" t="str">
            <v>1325217614084TTORE</v>
          </cell>
          <cell r="C74" t="str">
            <v>175/70 R14 VECTRA+ 84T TL</v>
          </cell>
          <cell r="D74" t="str">
            <v>R14</v>
          </cell>
          <cell r="E74" t="str">
            <v>1784 VEC</v>
          </cell>
          <cell r="F74" t="str">
            <v>P</v>
          </cell>
          <cell r="J74" t="str">
            <v>P</v>
          </cell>
          <cell r="M74">
            <v>48</v>
          </cell>
        </row>
        <row r="75">
          <cell r="B75" t="str">
            <v>1D25218Z14008QXPC0</v>
          </cell>
          <cell r="C75" t="str">
            <v>185R14_ULTIMA XPC_8PR_Q_TL</v>
          </cell>
          <cell r="D75" t="str">
            <v>R14</v>
          </cell>
          <cell r="E75" t="str">
            <v>1814 LT</v>
          </cell>
          <cell r="F75" t="str">
            <v>P</v>
          </cell>
          <cell r="H75" t="str">
            <v>P</v>
          </cell>
          <cell r="I75" t="str">
            <v>P</v>
          </cell>
          <cell r="L75" t="str">
            <v>P</v>
          </cell>
          <cell r="M75">
            <v>69</v>
          </cell>
        </row>
        <row r="76">
          <cell r="B76" t="str">
            <v>1D25118Z14008QXPC0</v>
          </cell>
          <cell r="C76" t="str">
            <v>185R14_ULTIMA XPC_8PR_Q_TT</v>
          </cell>
          <cell r="D76" t="str">
            <v>R14</v>
          </cell>
          <cell r="E76" t="str">
            <v>1804 XPC TT</v>
          </cell>
          <cell r="F76" t="str">
            <v>P</v>
          </cell>
          <cell r="H76" t="str">
            <v>P</v>
          </cell>
          <cell r="I76" t="str">
            <v>P</v>
          </cell>
          <cell r="L76" t="str">
            <v>P</v>
          </cell>
          <cell r="M76">
            <v>69</v>
          </cell>
        </row>
        <row r="77">
          <cell r="B77" t="str">
            <v>1D25218Z14008RXC10</v>
          </cell>
          <cell r="C77" t="str">
            <v>185 R 14C 102/100R 8PR LT ULTIMA XPC1 TL</v>
          </cell>
          <cell r="D77" t="str">
            <v>R14</v>
          </cell>
          <cell r="E77" t="str">
            <v>1824 XPC1</v>
          </cell>
          <cell r="F77" t="str">
            <v>P</v>
          </cell>
          <cell r="H77" t="str">
            <v>P</v>
          </cell>
          <cell r="I77" t="str">
            <v>P</v>
          </cell>
          <cell r="K77" t="str">
            <v>P</v>
          </cell>
          <cell r="M77">
            <v>69</v>
          </cell>
        </row>
        <row r="78">
          <cell r="B78" t="str">
            <v>1D25218014010RXPCT</v>
          </cell>
          <cell r="C78" t="str">
            <v>185R14LT ULTIMA XPC_ TL_PLT_ TML</v>
          </cell>
          <cell r="D78" t="str">
            <v>R14</v>
          </cell>
          <cell r="E78" t="str">
            <v>1844 XPC TML</v>
          </cell>
          <cell r="F78" t="str">
            <v>P</v>
          </cell>
          <cell r="H78" t="str">
            <v>P</v>
          </cell>
          <cell r="I78" t="str">
            <v>P</v>
          </cell>
          <cell r="L78" t="str">
            <v>P</v>
          </cell>
          <cell r="M78">
            <v>69</v>
          </cell>
        </row>
        <row r="79">
          <cell r="B79" t="str">
            <v>1325218514086HUSPE</v>
          </cell>
          <cell r="C79" t="str">
            <v>185/65R14_ULTIMA SPORT_86 H TL_BRAZIL EX</v>
          </cell>
          <cell r="D79" t="str">
            <v>R14</v>
          </cell>
          <cell r="E79" t="str">
            <v>1864 SPT</v>
          </cell>
          <cell r="F79" t="str">
            <v>P</v>
          </cell>
          <cell r="J79" t="str">
            <v>P</v>
          </cell>
          <cell r="M79">
            <v>48</v>
          </cell>
        </row>
        <row r="80">
          <cell r="B80" t="str">
            <v>1325218514086HURL0</v>
          </cell>
          <cell r="C80" t="str">
            <v>185/65R14_UX ROYALE_86 H  TL</v>
          </cell>
          <cell r="D80" t="str">
            <v>R14</v>
          </cell>
          <cell r="E80" t="str">
            <v>1854 ROYL</v>
          </cell>
          <cell r="F80" t="str">
            <v>P</v>
          </cell>
          <cell r="J80" t="str">
            <v>P</v>
          </cell>
          <cell r="M80">
            <v>48</v>
          </cell>
        </row>
        <row r="81">
          <cell r="B81" t="str">
            <v>1325218614088TVEC0</v>
          </cell>
          <cell r="C81" t="str">
            <v>185/70 R14_VECTRA_88_T_TL</v>
          </cell>
          <cell r="D81" t="str">
            <v>R14</v>
          </cell>
          <cell r="E81" t="str">
            <v>1874 VEC MM</v>
          </cell>
          <cell r="F81" t="str">
            <v>P</v>
          </cell>
          <cell r="J81" t="str">
            <v>P</v>
          </cell>
          <cell r="M81">
            <v>48</v>
          </cell>
        </row>
        <row r="82">
          <cell r="B82" t="str">
            <v>1325218614088SVEC0</v>
          </cell>
          <cell r="C82" t="str">
            <v>185/70 R14_VECTRA_88_S_TL</v>
          </cell>
          <cell r="D82" t="str">
            <v>R14</v>
          </cell>
          <cell r="E82" t="str">
            <v>1844 VEC NISSAN</v>
          </cell>
          <cell r="F82" t="str">
            <v>P</v>
          </cell>
          <cell r="M82">
            <v>38</v>
          </cell>
        </row>
        <row r="83">
          <cell r="B83" t="str">
            <v>1325218614088TVECE</v>
          </cell>
          <cell r="C83" t="str">
            <v>185/70R14_ VECTRA _88 T TL_BRAZIL EXPORT</v>
          </cell>
          <cell r="D83" t="str">
            <v>R14</v>
          </cell>
          <cell r="E83" t="str">
            <v>1834 VEC EXP</v>
          </cell>
          <cell r="F83" t="str">
            <v>P</v>
          </cell>
          <cell r="J83" t="str">
            <v>P</v>
          </cell>
          <cell r="M83">
            <v>48</v>
          </cell>
        </row>
        <row r="84">
          <cell r="B84" t="str">
            <v>1325218614088HURL0</v>
          </cell>
          <cell r="C84" t="str">
            <v>185/70 R14_UX ROYALE_88_H_TL</v>
          </cell>
          <cell r="D84" t="str">
            <v>R14</v>
          </cell>
          <cell r="E84" t="str">
            <v>1884 ROYL</v>
          </cell>
          <cell r="F84" t="str">
            <v>P</v>
          </cell>
          <cell r="J84" t="str">
            <v>P</v>
          </cell>
          <cell r="M84">
            <v>48</v>
          </cell>
        </row>
        <row r="85">
          <cell r="B85" t="str">
            <v>1325218614088TTMX0</v>
          </cell>
          <cell r="C85" t="str">
            <v>185/70 R14_TAXIMAX_88 T TL</v>
          </cell>
          <cell r="D85" t="str">
            <v>R14</v>
          </cell>
          <cell r="E85" t="str">
            <v>1894 MAX</v>
          </cell>
          <cell r="F85" t="str">
            <v>P</v>
          </cell>
          <cell r="J85" t="str">
            <v>P</v>
          </cell>
          <cell r="M85">
            <v>48</v>
          </cell>
        </row>
        <row r="86">
          <cell r="B86" t="str">
            <v>1325218614088TVECO</v>
          </cell>
          <cell r="C86" t="str">
            <v>185/70 R 14 VECTRA TL-SWIFT/NISSAN</v>
          </cell>
          <cell r="D86" t="str">
            <v>R14</v>
          </cell>
          <cell r="F86" t="str">
            <v>P</v>
          </cell>
          <cell r="M86">
            <v>38</v>
          </cell>
        </row>
        <row r="87">
          <cell r="B87" t="str">
            <v>1D25219Z14008SXC10</v>
          </cell>
          <cell r="C87" t="str">
            <v>195R14_ULTIMA XPC1_8PR_S_TL</v>
          </cell>
          <cell r="D87" t="str">
            <v>R14</v>
          </cell>
          <cell r="E87" t="str">
            <v>1914 XPC1</v>
          </cell>
          <cell r="F87" t="str">
            <v>P</v>
          </cell>
          <cell r="H87" t="str">
            <v>P</v>
          </cell>
          <cell r="I87" t="str">
            <v>P</v>
          </cell>
          <cell r="K87" t="str">
            <v>P</v>
          </cell>
          <cell r="M87">
            <v>69</v>
          </cell>
        </row>
        <row r="88">
          <cell r="B88" t="str">
            <v>1D25219Z14008SXC11</v>
          </cell>
          <cell r="C88" t="str">
            <v>195R14LT ULTIMA XPC1_ TL_PLT_DOM</v>
          </cell>
          <cell r="D88" t="str">
            <v>R14</v>
          </cell>
          <cell r="E88" t="str">
            <v>1924 XPC1</v>
          </cell>
          <cell r="F88" t="str">
            <v>P</v>
          </cell>
          <cell r="H88" t="str">
            <v>P</v>
          </cell>
          <cell r="I88" t="str">
            <v>P</v>
          </cell>
          <cell r="L88" t="str">
            <v>P</v>
          </cell>
          <cell r="M88">
            <v>69</v>
          </cell>
        </row>
        <row r="89">
          <cell r="B89" t="str">
            <v>1325219414086HUSP0</v>
          </cell>
          <cell r="C89" t="str">
            <v>195/60 R 14_ULTIMA SPORT_86_H_TL</v>
          </cell>
          <cell r="D89" t="str">
            <v>R14</v>
          </cell>
          <cell r="E89" t="str">
            <v>1964 SPT</v>
          </cell>
          <cell r="F89" t="str">
            <v>P</v>
          </cell>
          <cell r="K89" t="str">
            <v>P</v>
          </cell>
          <cell r="M89">
            <v>48</v>
          </cell>
        </row>
        <row r="90">
          <cell r="B90" t="str">
            <v>1325116815087SXPC0</v>
          </cell>
          <cell r="C90" t="str">
            <v>165/80 R 15_ULTIMA XPC_87_S_TT</v>
          </cell>
          <cell r="D90" t="str">
            <v>R15</v>
          </cell>
          <cell r="E90" t="str">
            <v>1685 XPC</v>
          </cell>
          <cell r="F90" t="str">
            <v>P</v>
          </cell>
          <cell r="J90" t="str">
            <v>P</v>
          </cell>
          <cell r="M90">
            <v>55</v>
          </cell>
        </row>
        <row r="91">
          <cell r="B91" t="str">
            <v>1325216815087SXPC0</v>
          </cell>
          <cell r="C91" t="str">
            <v>165/80 R 15 87S ULTIMA XPC TL</v>
          </cell>
          <cell r="D91" t="str">
            <v>R15</v>
          </cell>
          <cell r="F91" t="str">
            <v>P</v>
          </cell>
          <cell r="J91" t="str">
            <v>P</v>
          </cell>
          <cell r="M91">
            <v>55</v>
          </cell>
        </row>
        <row r="92">
          <cell r="C92" t="str">
            <v>175/65 R15 UX ROYL</v>
          </cell>
          <cell r="F92" t="str">
            <v>P</v>
          </cell>
          <cell r="J92" t="str">
            <v>P</v>
          </cell>
          <cell r="M92">
            <v>55</v>
          </cell>
        </row>
        <row r="93">
          <cell r="B93" t="str">
            <v>1325218415084TTMX0</v>
          </cell>
          <cell r="C93" t="str">
            <v>185/60 R15_TAXIMAX_84 T TL</v>
          </cell>
          <cell r="D93" t="str">
            <v>R15</v>
          </cell>
          <cell r="E93" t="str">
            <v>1895 MAX</v>
          </cell>
          <cell r="F93" t="str">
            <v>P</v>
          </cell>
          <cell r="J93" t="str">
            <v>P</v>
          </cell>
          <cell r="M93">
            <v>55</v>
          </cell>
        </row>
        <row r="94">
          <cell r="B94" t="str">
            <v>1325218415084TVEC0</v>
          </cell>
          <cell r="C94" t="str">
            <v>185/60 R15_VECTRA_84_T_TL</v>
          </cell>
          <cell r="D94" t="str">
            <v>R15</v>
          </cell>
          <cell r="F94" t="str">
            <v>P</v>
          </cell>
          <cell r="J94" t="str">
            <v>P</v>
          </cell>
          <cell r="M94">
            <v>55</v>
          </cell>
        </row>
        <row r="95">
          <cell r="B95" t="str">
            <v>1325218415084TUTR0</v>
          </cell>
          <cell r="C95" t="str">
            <v>185/60R15_ UX TOURING _84 T TL</v>
          </cell>
          <cell r="D95" t="str">
            <v>R15</v>
          </cell>
          <cell r="F95" t="str">
            <v>P</v>
          </cell>
          <cell r="J95" t="str">
            <v>P</v>
          </cell>
          <cell r="M95">
            <v>55</v>
          </cell>
        </row>
        <row r="96">
          <cell r="B96" t="str">
            <v>1325218515088SVEC0</v>
          </cell>
          <cell r="C96" t="str">
            <v>185/65 R15_VECTRA_88_S_TL</v>
          </cell>
          <cell r="D96" t="str">
            <v>R15</v>
          </cell>
          <cell r="F96" t="str">
            <v>P</v>
          </cell>
          <cell r="J96" t="str">
            <v>P</v>
          </cell>
          <cell r="M96">
            <v>55</v>
          </cell>
        </row>
        <row r="97">
          <cell r="B97" t="str">
            <v>1325218515088TVEC0</v>
          </cell>
          <cell r="C97" t="str">
            <v>185/65 R15_VECTRA_88_T_TL</v>
          </cell>
          <cell r="D97" t="str">
            <v>R15</v>
          </cell>
          <cell r="F97" t="str">
            <v>P</v>
          </cell>
          <cell r="J97" t="str">
            <v>P</v>
          </cell>
          <cell r="M97">
            <v>55</v>
          </cell>
        </row>
        <row r="98">
          <cell r="B98" t="str">
            <v>1325218515088TVEC1</v>
          </cell>
          <cell r="C98" t="str">
            <v>185/65R15_ Vectra _88 T _TL _Renault</v>
          </cell>
          <cell r="D98" t="str">
            <v>R15</v>
          </cell>
          <cell r="F98" t="str">
            <v>P</v>
          </cell>
          <cell r="J98" t="str">
            <v>P</v>
          </cell>
          <cell r="M98">
            <v>55</v>
          </cell>
        </row>
        <row r="99">
          <cell r="B99" t="str">
            <v>1325218515088HTMX0</v>
          </cell>
          <cell r="C99" t="str">
            <v>185/65 R15_TAXIMAX_88 H TL</v>
          </cell>
          <cell r="D99" t="str">
            <v>R15</v>
          </cell>
          <cell r="E99" t="str">
            <v>1885 MAX</v>
          </cell>
          <cell r="F99" t="str">
            <v>P</v>
          </cell>
          <cell r="J99" t="str">
            <v>P</v>
          </cell>
          <cell r="M99">
            <v>55</v>
          </cell>
        </row>
        <row r="100">
          <cell r="B100" t="str">
            <v>1325218515088TVEUE</v>
          </cell>
          <cell r="C100" t="str">
            <v>185/65 R15_VECTRA_88T T TL</v>
          </cell>
          <cell r="D100" t="str">
            <v>R15</v>
          </cell>
          <cell r="E100" t="str">
            <v>1805 VEC</v>
          </cell>
          <cell r="F100" t="str">
            <v>P</v>
          </cell>
          <cell r="K100" t="str">
            <v>P</v>
          </cell>
          <cell r="M100">
            <v>55</v>
          </cell>
        </row>
        <row r="101">
          <cell r="B101" t="str">
            <v>1325218515088HURL2</v>
          </cell>
          <cell r="C101" t="str">
            <v>185/65R15_UX ROYALE_88H TL</v>
          </cell>
          <cell r="D101" t="str">
            <v>R15</v>
          </cell>
          <cell r="E101" t="str">
            <v>1855 ROYL HYU</v>
          </cell>
          <cell r="F101" t="str">
            <v>P</v>
          </cell>
          <cell r="J101" t="str">
            <v>P</v>
          </cell>
          <cell r="M101">
            <v>55</v>
          </cell>
        </row>
        <row r="102">
          <cell r="B102" t="str">
            <v>1325218515088HUTR0</v>
          </cell>
          <cell r="C102" t="str">
            <v>185/65R15_UX TOURING_88H TL</v>
          </cell>
          <cell r="D102" t="str">
            <v>R15</v>
          </cell>
          <cell r="F102" t="str">
            <v>P</v>
          </cell>
          <cell r="J102" t="str">
            <v>P</v>
          </cell>
          <cell r="M102">
            <v>55</v>
          </cell>
        </row>
        <row r="103">
          <cell r="C103" t="str">
            <v xml:space="preserve"> 195/65 R 15 UX ROYL</v>
          </cell>
          <cell r="F103" t="str">
            <v>P</v>
          </cell>
          <cell r="K103" t="str">
            <v>P</v>
          </cell>
          <cell r="M103">
            <v>55</v>
          </cell>
        </row>
        <row r="104">
          <cell r="B104" t="str">
            <v>1225219Z15008SXC10</v>
          </cell>
          <cell r="C104" t="str">
            <v>195R15_ULTIMA XPC1_8PR_S_TL</v>
          </cell>
          <cell r="D104" t="str">
            <v>R15</v>
          </cell>
          <cell r="E104" t="str">
            <v>1915 XPC1</v>
          </cell>
          <cell r="F104" t="str">
            <v>P</v>
          </cell>
          <cell r="H104" t="str">
            <v>P</v>
          </cell>
          <cell r="I104" t="str">
            <v>P</v>
          </cell>
          <cell r="L104" t="str">
            <v>P</v>
          </cell>
          <cell r="M104">
            <v>74</v>
          </cell>
        </row>
        <row r="105">
          <cell r="B105" t="str">
            <v>1225219Z15008SXC11</v>
          </cell>
          <cell r="C105" t="str">
            <v>195R15 Ultima XPC1 107/105S 8PR</v>
          </cell>
          <cell r="D105" t="str">
            <v>R15</v>
          </cell>
          <cell r="E105" t="str">
            <v>1925 XPC1</v>
          </cell>
          <cell r="F105" t="str">
            <v>P</v>
          </cell>
          <cell r="H105" t="str">
            <v>P</v>
          </cell>
          <cell r="I105" t="str">
            <v>P</v>
          </cell>
          <cell r="L105" t="str">
            <v>P</v>
          </cell>
          <cell r="M105">
            <v>74</v>
          </cell>
        </row>
        <row r="106">
          <cell r="B106" t="str">
            <v>1225119Z15008SXC10</v>
          </cell>
          <cell r="C106" t="str">
            <v>195R15_ULTIMA XPC1_8PR_S_TT</v>
          </cell>
          <cell r="D106" t="str">
            <v>R15</v>
          </cell>
          <cell r="E106" t="str">
            <v>1905 XPC1</v>
          </cell>
          <cell r="F106" t="str">
            <v>P</v>
          </cell>
          <cell r="H106" t="str">
            <v>P</v>
          </cell>
          <cell r="I106" t="str">
            <v>P</v>
          </cell>
          <cell r="L106" t="str">
            <v>P</v>
          </cell>
          <cell r="M106">
            <v>74</v>
          </cell>
        </row>
        <row r="107">
          <cell r="B107" t="str">
            <v>1325219315085VUX10</v>
          </cell>
          <cell r="C107" t="str">
            <v>195/55 R 15_UX1 _85_V_TL</v>
          </cell>
          <cell r="D107" t="str">
            <v>R15</v>
          </cell>
          <cell r="E107" t="str">
            <v>1955 UX1</v>
          </cell>
          <cell r="F107" t="str">
            <v>P</v>
          </cell>
          <cell r="K107" t="str">
            <v>P</v>
          </cell>
          <cell r="M107">
            <v>55</v>
          </cell>
        </row>
        <row r="108">
          <cell r="B108" t="str">
            <v>1325219315089VUX10</v>
          </cell>
          <cell r="C108" t="str">
            <v>195/55R15 UX1 89 V TL</v>
          </cell>
          <cell r="D108" t="str">
            <v>R15</v>
          </cell>
          <cell r="E108" t="str">
            <v>1935 UX1 EXP</v>
          </cell>
          <cell r="F108" t="str">
            <v>P</v>
          </cell>
          <cell r="K108" t="str">
            <v>P</v>
          </cell>
          <cell r="M108">
            <v>55</v>
          </cell>
        </row>
        <row r="109">
          <cell r="B109" t="str">
            <v>1325219415088VUX10</v>
          </cell>
          <cell r="C109" t="str">
            <v>195/60R15_UX1 _88_V_TL</v>
          </cell>
          <cell r="D109" t="str">
            <v>R15</v>
          </cell>
          <cell r="E109" t="str">
            <v>1965 UX1</v>
          </cell>
          <cell r="F109" t="str">
            <v>P</v>
          </cell>
          <cell r="K109" t="str">
            <v>P</v>
          </cell>
          <cell r="M109">
            <v>55</v>
          </cell>
        </row>
        <row r="110">
          <cell r="B110" t="str">
            <v>1325219415092VUX10</v>
          </cell>
          <cell r="C110" t="str">
            <v>195/60R15 UX1 92 V TL</v>
          </cell>
          <cell r="D110" t="str">
            <v>R15</v>
          </cell>
          <cell r="E110" t="str">
            <v>1975 UX1 EXP</v>
          </cell>
          <cell r="F110" t="str">
            <v>P</v>
          </cell>
          <cell r="K110" t="str">
            <v>P</v>
          </cell>
          <cell r="M110">
            <v>55</v>
          </cell>
        </row>
        <row r="111">
          <cell r="B111" t="str">
            <v>1325219515091VURL0</v>
          </cell>
          <cell r="C111" t="str">
            <v>195/65 R15_UX ROYALE_91_V_TL</v>
          </cell>
          <cell r="D111" t="str">
            <v>R15</v>
          </cell>
          <cell r="E111" t="str">
            <v>1985 ROYL</v>
          </cell>
          <cell r="F111" t="str">
            <v>P</v>
          </cell>
          <cell r="J111" t="str">
            <v>P</v>
          </cell>
          <cell r="M111">
            <v>55</v>
          </cell>
        </row>
        <row r="112">
          <cell r="B112" t="str">
            <v>1325219515091VUXA0</v>
          </cell>
          <cell r="C112" t="str">
            <v>195/65R15_UX ALP_91V TL</v>
          </cell>
          <cell r="D112" t="str">
            <v>R15</v>
          </cell>
          <cell r="E112" t="str">
            <v>1945 ALP</v>
          </cell>
          <cell r="F112" t="str">
            <v>P</v>
          </cell>
          <cell r="J112" t="str">
            <v>P</v>
          </cell>
          <cell r="M112">
            <v>55</v>
          </cell>
        </row>
        <row r="113">
          <cell r="B113" t="str">
            <v>1325219515091HURL2</v>
          </cell>
          <cell r="C113" t="str">
            <v>195/65R15_UX ROYALE_91H TL TST</v>
          </cell>
          <cell r="D113" t="str">
            <v>R15</v>
          </cell>
          <cell r="E113" t="str">
            <v>1995 ROYL KIA</v>
          </cell>
          <cell r="F113" t="str">
            <v>P</v>
          </cell>
          <cell r="H113" t="str">
            <v>P</v>
          </cell>
          <cell r="K113" t="str">
            <v>P</v>
          </cell>
          <cell r="M113">
            <v>57</v>
          </cell>
        </row>
        <row r="114">
          <cell r="B114" t="str">
            <v>1325220415091VUX10</v>
          </cell>
          <cell r="C114" t="str">
            <v>205/60 R 15_UX1 _91_V_TL</v>
          </cell>
          <cell r="D114" t="str">
            <v>R15</v>
          </cell>
          <cell r="E114" t="str">
            <v>2065 UX1</v>
          </cell>
          <cell r="F114" t="str">
            <v>P</v>
          </cell>
          <cell r="K114" t="str">
            <v>P</v>
          </cell>
          <cell r="M114">
            <v>55</v>
          </cell>
        </row>
        <row r="115">
          <cell r="B115" t="str">
            <v>1325220415095VUX10</v>
          </cell>
          <cell r="C115" t="str">
            <v>205/60R15 UX1 95 V TL</v>
          </cell>
          <cell r="D115" t="str">
            <v>R15</v>
          </cell>
          <cell r="E115" t="str">
            <v>2025 UX1 EXP</v>
          </cell>
          <cell r="F115" t="str">
            <v>P</v>
          </cell>
          <cell r="K115" t="str">
            <v>P</v>
          </cell>
          <cell r="M115">
            <v>55</v>
          </cell>
        </row>
        <row r="116">
          <cell r="B116" t="str">
            <v>1325220515094VETR0</v>
          </cell>
          <cell r="C116" t="str">
            <v>205/65 R15_ELANZO TOURING_94_V_TL</v>
          </cell>
          <cell r="D116" t="str">
            <v>R15</v>
          </cell>
          <cell r="E116" t="str">
            <v>2035 EZO TOU</v>
          </cell>
          <cell r="F116" t="str">
            <v>P</v>
          </cell>
          <cell r="G116" t="str">
            <v>P</v>
          </cell>
          <cell r="K116" t="str">
            <v>P</v>
          </cell>
          <cell r="M116">
            <v>60</v>
          </cell>
        </row>
        <row r="117">
          <cell r="B117" t="str">
            <v>1325220515094VUTP0</v>
          </cell>
          <cell r="C117" t="str">
            <v>205/65R15_UX TOURING PUNCTURE GUARD_94V</v>
          </cell>
          <cell r="D117" t="str">
            <v>R15</v>
          </cell>
          <cell r="F117" t="str">
            <v>P</v>
          </cell>
          <cell r="G117" t="str">
            <v>P</v>
          </cell>
          <cell r="K117" t="str">
            <v>P</v>
          </cell>
          <cell r="M117">
            <v>60</v>
          </cell>
        </row>
        <row r="118">
          <cell r="B118" t="str">
            <v>1325220615106SRAT0</v>
          </cell>
          <cell r="C118" t="str">
            <v>205/70R15C 106/104S RANGER A/T TL</v>
          </cell>
          <cell r="D118" t="str">
            <v>R15</v>
          </cell>
          <cell r="E118" t="str">
            <v>2575 RAN AT</v>
          </cell>
          <cell r="F118" t="str">
            <v>P</v>
          </cell>
          <cell r="H118" t="str">
            <v>P</v>
          </cell>
          <cell r="L118" t="str">
            <v>P</v>
          </cell>
          <cell r="M118">
            <v>63</v>
          </cell>
        </row>
        <row r="119">
          <cell r="B119" t="str">
            <v>1325221Z15113RRAT0</v>
          </cell>
          <cell r="C119" t="str">
            <v>215R15C _RANGER AT_8 PR_113/111 R TL</v>
          </cell>
          <cell r="D119" t="str">
            <v>R15</v>
          </cell>
          <cell r="E119" t="str">
            <v>2125 RAN AT</v>
          </cell>
          <cell r="F119" t="str">
            <v>P</v>
          </cell>
          <cell r="H119" t="str">
            <v>P</v>
          </cell>
          <cell r="L119" t="str">
            <v>P</v>
          </cell>
          <cell r="M119">
            <v>63</v>
          </cell>
        </row>
        <row r="120">
          <cell r="B120" t="str">
            <v>1325221615109SRAT0</v>
          </cell>
          <cell r="C120" t="str">
            <v>215/70R15C 109/107S RANGER A/T TL</v>
          </cell>
          <cell r="D120" t="str">
            <v>R15</v>
          </cell>
          <cell r="E120" t="str">
            <v>2275 RAN AT</v>
          </cell>
          <cell r="F120" t="str">
            <v>P</v>
          </cell>
          <cell r="H120" t="str">
            <v>P</v>
          </cell>
          <cell r="L120" t="str">
            <v>P</v>
          </cell>
          <cell r="M120">
            <v>63</v>
          </cell>
        </row>
        <row r="121">
          <cell r="B121" t="str">
            <v>1225221615109SBAT0</v>
          </cell>
          <cell r="C121" t="str">
            <v>215/70R15C 109/107S BRUTE A/T T</v>
          </cell>
          <cell r="D121" t="str">
            <v>R15</v>
          </cell>
          <cell r="F121" t="str">
            <v>P</v>
          </cell>
          <cell r="G121" t="str">
            <v>P</v>
          </cell>
          <cell r="L121" t="str">
            <v>P</v>
          </cell>
          <cell r="M121">
            <v>63</v>
          </cell>
        </row>
        <row r="122">
          <cell r="B122" t="str">
            <v>1325121715100SBRU0</v>
          </cell>
          <cell r="C122" t="str">
            <v>215/75 R 15_SB BRUTE_100_S_TT</v>
          </cell>
          <cell r="D122" t="str">
            <v>R15</v>
          </cell>
          <cell r="E122" t="str">
            <v>2155 BRU</v>
          </cell>
          <cell r="F122" t="str">
            <v>P</v>
          </cell>
          <cell r="G122" t="str">
            <v>P</v>
          </cell>
          <cell r="L122" t="str">
            <v>P</v>
          </cell>
          <cell r="M122">
            <v>63</v>
          </cell>
        </row>
        <row r="123">
          <cell r="B123" t="str">
            <v>1325221715100SBRU0</v>
          </cell>
          <cell r="C123" t="str">
            <v>215/75 R 15_BRUTE_100_S_TL</v>
          </cell>
          <cell r="D123" t="str">
            <v>R15</v>
          </cell>
          <cell r="E123" t="str">
            <v>2355 BRU</v>
          </cell>
          <cell r="F123" t="str">
            <v>P</v>
          </cell>
          <cell r="G123" t="str">
            <v>P</v>
          </cell>
          <cell r="L123" t="str">
            <v>P</v>
          </cell>
          <cell r="M123">
            <v>63</v>
          </cell>
        </row>
        <row r="124">
          <cell r="B124" t="str">
            <v>1325221715100SRAT0</v>
          </cell>
          <cell r="C124" t="str">
            <v>215/75 R 15_RANGER A/T_100_S_TL</v>
          </cell>
          <cell r="D124" t="str">
            <v>R15</v>
          </cell>
          <cell r="E124" t="str">
            <v>2455 RAN AT</v>
          </cell>
          <cell r="F124" t="str">
            <v>P</v>
          </cell>
          <cell r="H124" t="str">
            <v>P</v>
          </cell>
          <cell r="J124" t="str">
            <v>P</v>
          </cell>
          <cell r="M124">
            <v>67</v>
          </cell>
        </row>
        <row r="125">
          <cell r="B125" t="str">
            <v>1325221715100SRHT0</v>
          </cell>
          <cell r="C125" t="str">
            <v>215/75 R 15_RANGER H/T _100_S_TL</v>
          </cell>
          <cell r="D125" t="str">
            <v>R15</v>
          </cell>
          <cell r="E125" t="str">
            <v>2055 RAN HT</v>
          </cell>
          <cell r="F125" t="str">
            <v>P</v>
          </cell>
          <cell r="H125" t="str">
            <v>P</v>
          </cell>
          <cell r="J125" t="str">
            <v>P</v>
          </cell>
          <cell r="M125">
            <v>67</v>
          </cell>
        </row>
        <row r="126">
          <cell r="B126" t="str">
            <v>1325221715100SRHT1</v>
          </cell>
          <cell r="C126" t="str">
            <v>215/75 R15 RANGER HT 100S RWL</v>
          </cell>
          <cell r="D126" t="str">
            <v>R15</v>
          </cell>
          <cell r="F126" t="str">
            <v>P</v>
          </cell>
          <cell r="H126" t="str">
            <v>P</v>
          </cell>
          <cell r="J126" t="str">
            <v>P</v>
          </cell>
          <cell r="M126">
            <v>60</v>
          </cell>
        </row>
        <row r="127">
          <cell r="B127" t="str">
            <v>1325221715102SBRU0</v>
          </cell>
          <cell r="C127" t="str">
            <v>215/75R15 102S Brute</v>
          </cell>
          <cell r="D127" t="str">
            <v>R15</v>
          </cell>
          <cell r="F127" t="str">
            <v>P</v>
          </cell>
          <cell r="H127" t="str">
            <v>P</v>
          </cell>
          <cell r="J127" t="str">
            <v>P</v>
          </cell>
          <cell r="M127">
            <v>60</v>
          </cell>
        </row>
        <row r="128">
          <cell r="B128" t="str">
            <v>1325221715100SBHT0</v>
          </cell>
          <cell r="C128" t="str">
            <v>215/75R15 BLAZZE H/T 100S TL</v>
          </cell>
          <cell r="D128" t="str">
            <v>R15</v>
          </cell>
          <cell r="E128" t="str">
            <v>2045 BLA HT</v>
          </cell>
          <cell r="F128" t="str">
            <v>P</v>
          </cell>
          <cell r="H128" t="str">
            <v>P</v>
          </cell>
          <cell r="J128" t="str">
            <v>P</v>
          </cell>
          <cell r="M128">
            <v>60</v>
          </cell>
        </row>
        <row r="129">
          <cell r="B129" t="str">
            <v>1325221715100SRAT1</v>
          </cell>
          <cell r="C129" t="str">
            <v>215/75R15 RANGER AT</v>
          </cell>
          <cell r="D129" t="str">
            <v>R15</v>
          </cell>
          <cell r="E129" t="str">
            <v>2015 RAN ATW</v>
          </cell>
          <cell r="F129" t="str">
            <v>P</v>
          </cell>
          <cell r="H129" t="str">
            <v>P</v>
          </cell>
          <cell r="J129" t="str">
            <v>P</v>
          </cell>
          <cell r="M129">
            <v>60</v>
          </cell>
        </row>
        <row r="130">
          <cell r="B130" t="str">
            <v xml:space="preserve">1325221715100SRHT1 </v>
          </cell>
          <cell r="C130" t="str">
            <v>215/75 R 15_RANGER H/T</v>
          </cell>
          <cell r="D130" t="str">
            <v>R15</v>
          </cell>
          <cell r="E130" t="str">
            <v>2115 RAN HTW</v>
          </cell>
          <cell r="F130" t="str">
            <v>P</v>
          </cell>
          <cell r="H130" t="str">
            <v>P</v>
          </cell>
          <cell r="J130" t="str">
            <v>P</v>
          </cell>
          <cell r="M130">
            <v>60</v>
          </cell>
        </row>
        <row r="131">
          <cell r="B131" t="str">
            <v>1325221715100SRPG0</v>
          </cell>
          <cell r="C131" t="str">
            <v>215/75R15_RANGER HT PUNCTURE GUARD_100S</v>
          </cell>
          <cell r="D131" t="str">
            <v>R15</v>
          </cell>
          <cell r="F131" t="str">
            <v>P</v>
          </cell>
          <cell r="H131" t="str">
            <v>P</v>
          </cell>
          <cell r="J131" t="str">
            <v>P</v>
          </cell>
          <cell r="M131">
            <v>60</v>
          </cell>
        </row>
        <row r="132">
          <cell r="B132" t="str">
            <v>1325223715104RBXT0</v>
          </cell>
          <cell r="C132" t="str">
            <v>LT235/75R15 BLAZZE X-A/T TL– 104/101</v>
          </cell>
          <cell r="D132" t="str">
            <v>R15</v>
          </cell>
          <cell r="E132" t="str">
            <v>2335 BLA XAT</v>
          </cell>
          <cell r="F132" t="str">
            <v>P</v>
          </cell>
          <cell r="H132" t="str">
            <v>P</v>
          </cell>
          <cell r="K132" t="str">
            <v>P</v>
          </cell>
          <cell r="M132">
            <v>60</v>
          </cell>
        </row>
        <row r="133">
          <cell r="B133" t="str">
            <v>1225223715104RBET0</v>
          </cell>
          <cell r="C133" t="str">
            <v>LT235/75R15 BLAZZE X-A/T TL– 104/101 R</v>
          </cell>
          <cell r="D133" t="str">
            <v>R15</v>
          </cell>
          <cell r="F133" t="str">
            <v>P</v>
          </cell>
          <cell r="H133" t="str">
            <v>P</v>
          </cell>
          <cell r="J133" t="str">
            <v>P</v>
          </cell>
          <cell r="M133">
            <v>60</v>
          </cell>
        </row>
        <row r="134">
          <cell r="B134" t="str">
            <v>1325223715104RRXT0</v>
          </cell>
          <cell r="C134" t="str">
            <v>LT235/75R15 RANGER X-A/T TL– 104/101</v>
          </cell>
          <cell r="D134" t="str">
            <v>R15</v>
          </cell>
          <cell r="E134" t="str">
            <v>2775 RAN XAT</v>
          </cell>
          <cell r="F134" t="str">
            <v>P</v>
          </cell>
          <cell r="H134" t="str">
            <v>P</v>
          </cell>
          <cell r="K134" t="str">
            <v>P</v>
          </cell>
          <cell r="M134">
            <v>67</v>
          </cell>
        </row>
        <row r="135">
          <cell r="B135" t="str">
            <v>1325223715105TRHT0</v>
          </cell>
          <cell r="C135" t="str">
            <v>235/75R15 105T RANGER H/T TL</v>
          </cell>
          <cell r="D135" t="str">
            <v>R15</v>
          </cell>
          <cell r="E135" t="str">
            <v>2375 RAN HT</v>
          </cell>
          <cell r="F135" t="str">
            <v>P</v>
          </cell>
          <cell r="H135" t="str">
            <v>P</v>
          </cell>
          <cell r="J135" t="str">
            <v>P</v>
          </cell>
          <cell r="M135">
            <v>60</v>
          </cell>
        </row>
        <row r="136">
          <cell r="B136" t="str">
            <v>1325223715105TBHT0</v>
          </cell>
          <cell r="C136" t="str">
            <v>235/75R15 BLAZZE H/T 105T TL</v>
          </cell>
          <cell r="D136" t="str">
            <v>R15</v>
          </cell>
          <cell r="E136" t="str">
            <v>2755 BLA HT</v>
          </cell>
          <cell r="F136" t="str">
            <v>P</v>
          </cell>
          <cell r="H136" t="str">
            <v>P</v>
          </cell>
          <cell r="J136" t="str">
            <v>P</v>
          </cell>
          <cell r="M136">
            <v>60</v>
          </cell>
        </row>
        <row r="137">
          <cell r="C137" t="str">
            <v>235/60 R15 RANGER MT</v>
          </cell>
          <cell r="F137" t="str">
            <v>P</v>
          </cell>
          <cell r="G137" t="str">
            <v>P</v>
          </cell>
          <cell r="L137" t="str">
            <v>P</v>
          </cell>
          <cell r="M137">
            <v>66</v>
          </cell>
        </row>
        <row r="138">
          <cell r="B138" t="str">
            <v>1225225615113SRAT0</v>
          </cell>
          <cell r="C138" t="str">
            <v>255/70R15C 113/110S RANGER A/T T</v>
          </cell>
          <cell r="D138" t="str">
            <v>R15</v>
          </cell>
          <cell r="E138" t="str">
            <v>2075 RAN AT</v>
          </cell>
          <cell r="F138" t="str">
            <v>P</v>
          </cell>
          <cell r="H138" t="str">
            <v>P</v>
          </cell>
          <cell r="L138" t="str">
            <v>P</v>
          </cell>
          <cell r="M138">
            <v>63</v>
          </cell>
        </row>
        <row r="139">
          <cell r="B139" t="str">
            <v>1225210015109QBAT0</v>
          </cell>
          <cell r="C139" t="str">
            <v>31x10.5R15 LT_BRUTE A/T_109Q TL</v>
          </cell>
          <cell r="D139" t="str">
            <v>R15</v>
          </cell>
          <cell r="F139" t="str">
            <v>P</v>
          </cell>
          <cell r="M139">
            <v>55</v>
          </cell>
        </row>
        <row r="140">
          <cell r="B140" t="str">
            <v>1325210015109QRAT0</v>
          </cell>
          <cell r="C140" t="str">
            <v>31 X 10.5 R 15 _RANGER A/T_109_Q_TL</v>
          </cell>
          <cell r="D140" t="str">
            <v>R15</v>
          </cell>
          <cell r="E140" t="str">
            <v>3115 RAN</v>
          </cell>
          <cell r="F140" t="str">
            <v>P</v>
          </cell>
          <cell r="H140" t="str">
            <v>P</v>
          </cell>
          <cell r="L140" t="str">
            <v>P</v>
          </cell>
          <cell r="M140">
            <v>63</v>
          </cell>
        </row>
        <row r="141">
          <cell r="B141" t="str">
            <v>1325231015109RRXT0</v>
          </cell>
          <cell r="C141" t="str">
            <v>31X10.50R15 LT RANGER X-A/T TL – 109 R</v>
          </cell>
          <cell r="D141" t="str">
            <v>R15</v>
          </cell>
          <cell r="E141" t="str">
            <v>3105 RAN XAT</v>
          </cell>
          <cell r="F141" t="str">
            <v>P</v>
          </cell>
          <cell r="H141" t="str">
            <v>P</v>
          </cell>
          <cell r="K141" t="str">
            <v>P</v>
          </cell>
          <cell r="M141">
            <v>60</v>
          </cell>
        </row>
        <row r="142">
          <cell r="B142" t="str">
            <v>1325231015109RBXT0</v>
          </cell>
          <cell r="C142" t="str">
            <v>31X10.50R15 LT BLAZZE X-A/T TL – 109 R</v>
          </cell>
          <cell r="D142" t="str">
            <v>R15</v>
          </cell>
          <cell r="E142" t="str">
            <v>3005 BLA XAT</v>
          </cell>
          <cell r="F142" t="str">
            <v>P</v>
          </cell>
          <cell r="H142" t="str">
            <v>P</v>
          </cell>
          <cell r="K142" t="str">
            <v>P</v>
          </cell>
          <cell r="M142">
            <v>60</v>
          </cell>
        </row>
        <row r="143">
          <cell r="B143" t="str">
            <v>1325231015109QRMT0</v>
          </cell>
          <cell r="C143" t="str">
            <v>31x10.50R15 LT_ RANGER M/T _109 Q TL RWL</v>
          </cell>
          <cell r="D143" t="str">
            <v>R15</v>
          </cell>
          <cell r="F143" t="str">
            <v>P</v>
          </cell>
          <cell r="G143" t="str">
            <v>P</v>
          </cell>
          <cell r="K143" t="str">
            <v>P</v>
          </cell>
          <cell r="M143">
            <v>60</v>
          </cell>
        </row>
        <row r="144">
          <cell r="B144" t="str">
            <v>1325232015113RBXT0</v>
          </cell>
          <cell r="C144" t="str">
            <v>32X11.50R15 LT BLAZZE X-A/T TL – 113 R</v>
          </cell>
          <cell r="D144" t="str">
            <v>R15</v>
          </cell>
          <cell r="E144" t="str">
            <v>3215 BLA XAT</v>
          </cell>
          <cell r="F144" t="str">
            <v>P</v>
          </cell>
          <cell r="H144" t="str">
            <v>P</v>
          </cell>
          <cell r="K144" t="str">
            <v>P</v>
          </cell>
          <cell r="M144">
            <v>67</v>
          </cell>
        </row>
        <row r="145">
          <cell r="B145" t="str">
            <v>1325232015113RRXT0</v>
          </cell>
          <cell r="C145" t="str">
            <v>32X11.50R15 LT RANGER X-A/T TL – 113</v>
          </cell>
          <cell r="D145" t="str">
            <v>R15</v>
          </cell>
          <cell r="E145" t="str">
            <v>3205 RAN XAT</v>
          </cell>
          <cell r="F145" t="str">
            <v>P</v>
          </cell>
          <cell r="H145" t="str">
            <v>P</v>
          </cell>
          <cell r="K145" t="str">
            <v>P</v>
          </cell>
          <cell r="M145">
            <v>67</v>
          </cell>
        </row>
        <row r="146">
          <cell r="B146" t="str">
            <v>1425118916008QBRU0</v>
          </cell>
          <cell r="C146" t="str">
            <v>185/85 R 16 BRUTE</v>
          </cell>
          <cell r="D146" t="str">
            <v>R16</v>
          </cell>
          <cell r="F146" t="str">
            <v>P</v>
          </cell>
          <cell r="H146" t="str">
            <v>P</v>
          </cell>
          <cell r="L146" t="str">
            <v>P</v>
          </cell>
          <cell r="M146">
            <v>69</v>
          </cell>
        </row>
        <row r="147">
          <cell r="B147" t="str">
            <v>1425118916008QBRN0</v>
          </cell>
          <cell r="C147" t="str">
            <v>185/85 R 16 BRUTE NE</v>
          </cell>
          <cell r="D147" t="str">
            <v>R16</v>
          </cell>
          <cell r="E147" t="str">
            <v>1886 BRU MM</v>
          </cell>
          <cell r="F147" t="str">
            <v>P</v>
          </cell>
          <cell r="H147" t="str">
            <v>P</v>
          </cell>
          <cell r="L147" t="str">
            <v>P</v>
          </cell>
          <cell r="M147">
            <v>69</v>
          </cell>
        </row>
        <row r="148">
          <cell r="C148" t="str">
            <v xml:space="preserve"> 195/60 R16 RANGER HPE</v>
          </cell>
          <cell r="F148" t="str">
            <v>P</v>
          </cell>
          <cell r="K148" t="str">
            <v>P</v>
          </cell>
          <cell r="M148">
            <v>63</v>
          </cell>
        </row>
        <row r="149">
          <cell r="B149" t="str">
            <v>1325219316087HVEC1</v>
          </cell>
          <cell r="C149" t="str">
            <v>195/55R16 VECTRA 87 H TL Export</v>
          </cell>
          <cell r="D149" t="str">
            <v>R16</v>
          </cell>
          <cell r="E149" t="str">
            <v>1956 VEC</v>
          </cell>
          <cell r="F149" t="str">
            <v>P</v>
          </cell>
          <cell r="K149" t="str">
            <v>P</v>
          </cell>
          <cell r="M149">
            <v>63</v>
          </cell>
        </row>
        <row r="150">
          <cell r="B150" t="str">
            <v>1325219316087VURLE</v>
          </cell>
          <cell r="C150" t="str">
            <v>195/55R16 UX Royale  87 V</v>
          </cell>
          <cell r="D150" t="str">
            <v>R16</v>
          </cell>
          <cell r="F150" t="str">
            <v>P</v>
          </cell>
          <cell r="K150" t="str">
            <v>P</v>
          </cell>
          <cell r="M150">
            <v>63</v>
          </cell>
        </row>
        <row r="151">
          <cell r="B151" t="str">
            <v>1325219316087VVEC0</v>
          </cell>
          <cell r="C151" t="str">
            <v>195/55 R16_VECTRA_87_V_TL</v>
          </cell>
          <cell r="D151" t="str">
            <v>R16</v>
          </cell>
          <cell r="F151" t="str">
            <v>P</v>
          </cell>
          <cell r="K151" t="str">
            <v>P</v>
          </cell>
          <cell r="M151">
            <v>63</v>
          </cell>
        </row>
        <row r="152">
          <cell r="B152" t="str">
            <v>1325219316087VURL0</v>
          </cell>
          <cell r="C152" t="str">
            <v>195/55 R16_UX ROYALE_87_V_TL</v>
          </cell>
          <cell r="D152" t="str">
            <v>R16</v>
          </cell>
          <cell r="E152" t="str">
            <v>1936 ROYL EXP</v>
          </cell>
          <cell r="F152" t="str">
            <v>P</v>
          </cell>
          <cell r="J152" t="str">
            <v>P</v>
          </cell>
          <cell r="M152">
            <v>62</v>
          </cell>
        </row>
        <row r="153">
          <cell r="B153" t="str">
            <v>1325220316091VURL0</v>
          </cell>
          <cell r="C153" t="str">
            <v>205/55 R 16 _UX ROYALE_91_V_TL</v>
          </cell>
          <cell r="D153" t="str">
            <v>R16</v>
          </cell>
          <cell r="E153" t="str">
            <v>2556 ROYL</v>
          </cell>
          <cell r="F153" t="str">
            <v>P</v>
          </cell>
          <cell r="K153" t="str">
            <v>P</v>
          </cell>
          <cell r="M153">
            <v>63</v>
          </cell>
        </row>
        <row r="154">
          <cell r="B154" t="str">
            <v>1325220316091VUX10</v>
          </cell>
          <cell r="C154" t="str">
            <v>205/55 R16 UX ROYALE TL</v>
          </cell>
          <cell r="D154" t="str">
            <v>R16</v>
          </cell>
          <cell r="E154" t="str">
            <v>2056 UX1</v>
          </cell>
          <cell r="F154" t="str">
            <v>P</v>
          </cell>
          <cell r="L154" t="str">
            <v>P</v>
          </cell>
          <cell r="M154">
            <v>63</v>
          </cell>
        </row>
        <row r="155">
          <cell r="B155" t="str">
            <v>1325220316094VUX10</v>
          </cell>
          <cell r="C155" t="str">
            <v>205/55R16 UX1 94 V TL Exp. &amp; Dom.</v>
          </cell>
          <cell r="D155" t="str">
            <v>R16</v>
          </cell>
          <cell r="E155" t="str">
            <v>2026 UX1 EXP</v>
          </cell>
          <cell r="F155" t="str">
            <v>P</v>
          </cell>
          <cell r="L155" t="str">
            <v>P</v>
          </cell>
          <cell r="M155">
            <v>63</v>
          </cell>
        </row>
        <row r="156">
          <cell r="B156" t="str">
            <v>1325220416092HRHT0</v>
          </cell>
          <cell r="C156" t="str">
            <v>205/60 R 16_RANGER H/T _92_H_TL</v>
          </cell>
          <cell r="D156" t="str">
            <v>R16</v>
          </cell>
          <cell r="E156" t="str">
            <v>2076 RAN HT</v>
          </cell>
          <cell r="F156" t="str">
            <v>P</v>
          </cell>
          <cell r="K156" t="str">
            <v>P</v>
          </cell>
          <cell r="M156">
            <v>63</v>
          </cell>
        </row>
        <row r="157">
          <cell r="B157" t="str">
            <v>1325220416092HENX0</v>
          </cell>
          <cell r="C157" t="str">
            <v>205/60 R16_ELANZO NXT_92_H_TL</v>
          </cell>
          <cell r="D157" t="str">
            <v>R16</v>
          </cell>
          <cell r="F157" t="str">
            <v>P</v>
          </cell>
          <cell r="K157" t="str">
            <v>P</v>
          </cell>
          <cell r="M157">
            <v>63</v>
          </cell>
        </row>
        <row r="158">
          <cell r="B158" t="str">
            <v>1325220416092HURL0</v>
          </cell>
          <cell r="C158" t="str">
            <v>205/60R16 UX Royale 92H TL</v>
          </cell>
          <cell r="D158" t="str">
            <v>R16</v>
          </cell>
          <cell r="F158" t="str">
            <v>P</v>
          </cell>
          <cell r="K158" t="str">
            <v>P</v>
          </cell>
          <cell r="M158">
            <v>63</v>
          </cell>
        </row>
        <row r="159">
          <cell r="B159" t="str">
            <v>1325220416092VVEC0</v>
          </cell>
          <cell r="C159" t="str">
            <v>205/60 R16_VECTRA_92_V_TL</v>
          </cell>
          <cell r="D159" t="str">
            <v>R16</v>
          </cell>
          <cell r="F159" t="str">
            <v>P</v>
          </cell>
          <cell r="K159" t="str">
            <v>P</v>
          </cell>
          <cell r="M159">
            <v>63</v>
          </cell>
        </row>
        <row r="160">
          <cell r="B160" t="str">
            <v>1325220416092HBHT0</v>
          </cell>
          <cell r="C160" t="str">
            <v>205/60R16 BLAZZE H/T 92H TL</v>
          </cell>
          <cell r="D160" t="str">
            <v>R16</v>
          </cell>
          <cell r="E160" t="str">
            <v>2506 BLA HT</v>
          </cell>
          <cell r="F160" t="str">
            <v>P</v>
          </cell>
          <cell r="K160" t="str">
            <v>P</v>
          </cell>
          <cell r="M160">
            <v>63</v>
          </cell>
        </row>
        <row r="161">
          <cell r="B161" t="str">
            <v>1325220416092VURL0</v>
          </cell>
          <cell r="C161" t="str">
            <v>205/60 R16_UX ROYALE_92_V_TL</v>
          </cell>
          <cell r="D161" t="str">
            <v>R16</v>
          </cell>
          <cell r="E161" t="str">
            <v>2046 ROYL EXP</v>
          </cell>
          <cell r="F161" t="str">
            <v>P</v>
          </cell>
          <cell r="K161" t="str">
            <v>P</v>
          </cell>
          <cell r="M161">
            <v>63</v>
          </cell>
        </row>
        <row r="162">
          <cell r="B162" t="str">
            <v>1325220516095HETR0</v>
          </cell>
          <cell r="C162" t="str">
            <v>205/65 R16_ELANZO TOURING_95 H TL</v>
          </cell>
          <cell r="D162" t="str">
            <v>R16</v>
          </cell>
          <cell r="E162" t="str">
            <v>2096 EZO TOU</v>
          </cell>
          <cell r="F162" t="str">
            <v>P</v>
          </cell>
          <cell r="G162" t="str">
            <v>P</v>
          </cell>
          <cell r="J162" t="str">
            <v>P</v>
          </cell>
          <cell r="M162">
            <v>69</v>
          </cell>
        </row>
        <row r="163">
          <cell r="B163" t="str">
            <v>1325220516095HURL1</v>
          </cell>
          <cell r="C163" t="str">
            <v>205/65 R16_UXROYALE_95 H TL_DOM EXP</v>
          </cell>
          <cell r="D163" t="str">
            <v>R16</v>
          </cell>
          <cell r="E163" t="str">
            <v>2516 ROYL</v>
          </cell>
          <cell r="F163" t="str">
            <v>P</v>
          </cell>
          <cell r="K163" t="str">
            <v>P</v>
          </cell>
          <cell r="M163">
            <v>63</v>
          </cell>
        </row>
        <row r="164">
          <cell r="B164" t="str">
            <v>1325220516095HURL2</v>
          </cell>
          <cell r="C164" t="str">
            <v>205/65R16_UX ROYALE_95H TL TST</v>
          </cell>
          <cell r="D164" t="str">
            <v>R16</v>
          </cell>
          <cell r="E164" t="str">
            <v>2136 ROYL KIA</v>
          </cell>
          <cell r="F164" t="str">
            <v>P</v>
          </cell>
          <cell r="K164" t="str">
            <v>P</v>
          </cell>
          <cell r="M164">
            <v>63</v>
          </cell>
        </row>
        <row r="165">
          <cell r="B165" t="str">
            <v>1325220516095HTMX0</v>
          </cell>
          <cell r="C165" t="str">
            <v>205/65R16_ TAXIMAX _95 H TL</v>
          </cell>
          <cell r="D165" t="str">
            <v>R16</v>
          </cell>
          <cell r="E165" t="str">
            <v>2066 MAX</v>
          </cell>
          <cell r="F165" t="str">
            <v>P</v>
          </cell>
          <cell r="J165" t="str">
            <v>P</v>
          </cell>
          <cell r="M165">
            <v>62</v>
          </cell>
        </row>
        <row r="166">
          <cell r="B166" t="str">
            <v>1325221416095VURL0</v>
          </cell>
          <cell r="C166" t="str">
            <v>215/60 R 16 _UX ROYALE_95_V_TL</v>
          </cell>
          <cell r="D166" t="str">
            <v>R16</v>
          </cell>
          <cell r="E166" t="str">
            <v>2526 ROYL</v>
          </cell>
          <cell r="F166" t="str">
            <v>P</v>
          </cell>
          <cell r="J166" t="str">
            <v>P</v>
          </cell>
          <cell r="M166">
            <v>62</v>
          </cell>
        </row>
        <row r="167">
          <cell r="B167" t="str">
            <v>1325220516095HUTR0</v>
          </cell>
          <cell r="C167" t="str">
            <v>205/65R16_UX TOURING_95H TL</v>
          </cell>
          <cell r="D167" t="str">
            <v>R16</v>
          </cell>
          <cell r="F167" t="str">
            <v>P</v>
          </cell>
          <cell r="G167" t="str">
            <v>P</v>
          </cell>
          <cell r="J167" t="str">
            <v>P</v>
          </cell>
          <cell r="M167">
            <v>69</v>
          </cell>
        </row>
        <row r="168">
          <cell r="C168" t="str">
            <v xml:space="preserve"> 215/65 R16 RANGER HT</v>
          </cell>
          <cell r="F168" t="str">
            <v>P</v>
          </cell>
          <cell r="G168" t="str">
            <v>P</v>
          </cell>
          <cell r="J168" t="str">
            <v>P</v>
          </cell>
          <cell r="M168">
            <v>69</v>
          </cell>
        </row>
        <row r="169">
          <cell r="B169" t="str">
            <v>1325221516098HENX0</v>
          </cell>
          <cell r="C169" t="str">
            <v>215/65 R16_ELANZO NXT_98_H_TL</v>
          </cell>
          <cell r="D169" t="str">
            <v>R16</v>
          </cell>
          <cell r="F169" t="str">
            <v>P</v>
          </cell>
          <cell r="H169" t="str">
            <v>P</v>
          </cell>
          <cell r="K169" t="str">
            <v>P</v>
          </cell>
          <cell r="M169">
            <v>69</v>
          </cell>
        </row>
        <row r="170">
          <cell r="B170" t="str">
            <v>1325221516098HRHT0</v>
          </cell>
          <cell r="C170" t="str">
            <v>215/65 R16_RANGER H/T _98_H_TL</v>
          </cell>
          <cell r="D170" t="str">
            <v>R16</v>
          </cell>
          <cell r="E170" t="str">
            <v>2266 RAN HT</v>
          </cell>
          <cell r="F170" t="str">
            <v>P</v>
          </cell>
          <cell r="H170" t="str">
            <v>P</v>
          </cell>
          <cell r="J170" t="str">
            <v>P</v>
          </cell>
          <cell r="M170">
            <v>69</v>
          </cell>
        </row>
        <row r="171">
          <cell r="B171" t="str">
            <v>1325221516098HBHT0</v>
          </cell>
          <cell r="C171" t="str">
            <v>215/65R16 BLAZZE H/T 98H  TL</v>
          </cell>
          <cell r="D171" t="str">
            <v>R16</v>
          </cell>
          <cell r="E171" t="str">
            <v>2166 BLA HT</v>
          </cell>
          <cell r="F171" t="str">
            <v>P</v>
          </cell>
          <cell r="H171" t="str">
            <v>P</v>
          </cell>
          <cell r="J171" t="str">
            <v>P</v>
          </cell>
          <cell r="M171">
            <v>69</v>
          </cell>
        </row>
        <row r="172">
          <cell r="B172" t="str">
            <v>1325221516098HURL0</v>
          </cell>
          <cell r="C172" t="str">
            <v>215/65R16_UX ROYALE_98 H TL</v>
          </cell>
          <cell r="D172" t="str">
            <v>R16</v>
          </cell>
          <cell r="E172" t="str">
            <v>2126 ROYL</v>
          </cell>
          <cell r="F172" t="str">
            <v>P</v>
          </cell>
          <cell r="G172" t="str">
            <v>P</v>
          </cell>
          <cell r="J172" t="str">
            <v>P</v>
          </cell>
          <cell r="M172">
            <v>69</v>
          </cell>
        </row>
        <row r="173">
          <cell r="B173" t="str">
            <v>1325221716101TRHT0</v>
          </cell>
          <cell r="C173" t="str">
            <v>215/75 R 16_RANGER H/T _101_T_TL</v>
          </cell>
          <cell r="D173" t="str">
            <v>R16</v>
          </cell>
          <cell r="E173" t="str">
            <v>2176 RAN HT</v>
          </cell>
          <cell r="F173" t="str">
            <v>P</v>
          </cell>
          <cell r="H173" t="str">
            <v>P</v>
          </cell>
          <cell r="J173" t="str">
            <v>P</v>
          </cell>
          <cell r="M173">
            <v>69</v>
          </cell>
        </row>
        <row r="174">
          <cell r="B174" t="str">
            <v>1325221716101TBHT0</v>
          </cell>
          <cell r="C174" t="str">
            <v>215/75R16 BLAZZE H/T 101T  TL</v>
          </cell>
          <cell r="D174" t="str">
            <v>R16</v>
          </cell>
          <cell r="E174" t="str">
            <v>2156 BLA HT</v>
          </cell>
          <cell r="F174" t="str">
            <v>P</v>
          </cell>
          <cell r="H174" t="str">
            <v>P</v>
          </cell>
          <cell r="J174" t="str">
            <v>P</v>
          </cell>
          <cell r="M174">
            <v>69</v>
          </cell>
        </row>
        <row r="175">
          <cell r="B175" t="str">
            <v>1325222416098VURL0</v>
          </cell>
          <cell r="C175" t="str">
            <v>225/60R16_UX ROYALE_98 V TL</v>
          </cell>
          <cell r="D175" t="str">
            <v>R16</v>
          </cell>
          <cell r="E175" t="str">
            <v>2256 ROYL</v>
          </cell>
          <cell r="F175" t="str">
            <v>P</v>
          </cell>
          <cell r="H175" t="str">
            <v>P</v>
          </cell>
          <cell r="K175" t="str">
            <v>P</v>
          </cell>
          <cell r="M175">
            <v>69</v>
          </cell>
        </row>
        <row r="176">
          <cell r="B176" t="str">
            <v>1325223516103TURL0</v>
          </cell>
          <cell r="C176" t="str">
            <v>235/65R16_UX ROYALE_103 T TL</v>
          </cell>
          <cell r="D176" t="str">
            <v>R16</v>
          </cell>
          <cell r="E176" t="str">
            <v>2366 ROYL</v>
          </cell>
          <cell r="F176" t="str">
            <v>P</v>
          </cell>
          <cell r="G176" t="str">
            <v>P</v>
          </cell>
          <cell r="J176" t="str">
            <v>P</v>
          </cell>
          <cell r="M176">
            <v>69</v>
          </cell>
        </row>
        <row r="177">
          <cell r="B177" t="str">
            <v>1325223616105HRHT0</v>
          </cell>
          <cell r="C177" t="str">
            <v>235/70 R16_RANGER H/T _105_H_TL</v>
          </cell>
          <cell r="D177" t="str">
            <v>R16</v>
          </cell>
          <cell r="E177" t="str">
            <v>2676 RAN HT</v>
          </cell>
          <cell r="F177" t="str">
            <v>P</v>
          </cell>
          <cell r="H177" t="str">
            <v>P</v>
          </cell>
          <cell r="K177" t="str">
            <v>P</v>
          </cell>
          <cell r="M177">
            <v>70</v>
          </cell>
        </row>
        <row r="178">
          <cell r="B178" t="str">
            <v>1325223616105HBHT0</v>
          </cell>
          <cell r="C178" t="str">
            <v>235/70R16 BLAZZE H/T 105H  TL</v>
          </cell>
          <cell r="D178" t="str">
            <v>R16</v>
          </cell>
          <cell r="E178" t="str">
            <v>2356 BLA HT</v>
          </cell>
          <cell r="F178" t="str">
            <v>P</v>
          </cell>
          <cell r="H178" t="str">
            <v>P</v>
          </cell>
          <cell r="K178" t="str">
            <v>P</v>
          </cell>
          <cell r="M178">
            <v>69</v>
          </cell>
        </row>
        <row r="179">
          <cell r="B179" t="str">
            <v>1325223616105TRAT0</v>
          </cell>
          <cell r="C179" t="str">
            <v>235/70 R16_RANGER A/T_105_T_TL</v>
          </cell>
          <cell r="D179" t="str">
            <v>R16</v>
          </cell>
          <cell r="E179" t="str">
            <v>2776 RAN AT</v>
          </cell>
          <cell r="F179" t="str">
            <v>P</v>
          </cell>
          <cell r="H179" t="str">
            <v>P</v>
          </cell>
          <cell r="K179" t="str">
            <v>P</v>
          </cell>
          <cell r="M179">
            <v>70</v>
          </cell>
        </row>
        <row r="180">
          <cell r="B180" t="str">
            <v>1325223616105TRAT1</v>
          </cell>
          <cell r="C180" t="str">
            <v>235/70 R16_RANGER A/T</v>
          </cell>
          <cell r="D180" t="str">
            <v>R16</v>
          </cell>
          <cell r="E180" t="str">
            <v>2016 RAN ATW</v>
          </cell>
          <cell r="F180" t="str">
            <v>P</v>
          </cell>
          <cell r="H180" t="str">
            <v>P</v>
          </cell>
          <cell r="K180" t="str">
            <v>P</v>
          </cell>
          <cell r="M180">
            <v>69</v>
          </cell>
        </row>
        <row r="181">
          <cell r="B181" t="str">
            <v>1325223616109SELZ0</v>
          </cell>
          <cell r="C181" t="str">
            <v>235/70 R 16 109 S ELANZO TUBELE</v>
          </cell>
          <cell r="D181" t="str">
            <v>R16</v>
          </cell>
          <cell r="E181" t="str">
            <v>2576 EZO TATA</v>
          </cell>
          <cell r="F181" t="str">
            <v>P</v>
          </cell>
          <cell r="H181" t="str">
            <v>P</v>
          </cell>
          <cell r="L181" t="str">
            <v>P</v>
          </cell>
          <cell r="M181">
            <v>69</v>
          </cell>
        </row>
        <row r="182">
          <cell r="B182" t="str">
            <v>1325223616105SELN0</v>
          </cell>
          <cell r="C182" t="str">
            <v>235/70 R16_ELANZO_105_S_TL</v>
          </cell>
          <cell r="D182" t="str">
            <v>R16</v>
          </cell>
          <cell r="F182" t="str">
            <v>P</v>
          </cell>
          <cell r="H182" t="str">
            <v>P</v>
          </cell>
          <cell r="L182" t="str">
            <v>P</v>
          </cell>
          <cell r="M182">
            <v>69</v>
          </cell>
        </row>
        <row r="183">
          <cell r="B183" t="str">
            <v>1325224716111SELSE</v>
          </cell>
          <cell r="C183" t="str">
            <v>245/75R16 Elanzo Supra 111 S TL Dom</v>
          </cell>
          <cell r="D183" t="str">
            <v>R16</v>
          </cell>
          <cell r="F183" t="str">
            <v>P</v>
          </cell>
          <cell r="G183" t="str">
            <v>P</v>
          </cell>
          <cell r="J183" t="str">
            <v>P</v>
          </cell>
          <cell r="M183">
            <v>70</v>
          </cell>
        </row>
        <row r="184">
          <cell r="B184" t="str">
            <v>1325224716111SELS0</v>
          </cell>
          <cell r="C184" t="str">
            <v>245/75 R 16_ELANZO SUPRA_111_S_TL</v>
          </cell>
          <cell r="D184" t="str">
            <v>R16</v>
          </cell>
          <cell r="E184" t="str">
            <v>2476 SUP MM</v>
          </cell>
          <cell r="F184" t="str">
            <v>P</v>
          </cell>
          <cell r="G184" t="str">
            <v>P</v>
          </cell>
          <cell r="J184" t="str">
            <v>P</v>
          </cell>
          <cell r="M184">
            <v>70</v>
          </cell>
        </row>
        <row r="185">
          <cell r="B185" t="str">
            <v>1325225516109HENX0</v>
          </cell>
          <cell r="C185" t="str">
            <v>255/65R16 109H ELANZO NXT TL</v>
          </cell>
          <cell r="D185" t="str">
            <v>R16</v>
          </cell>
          <cell r="F185" t="str">
            <v>P</v>
          </cell>
          <cell r="G185" t="str">
            <v>P</v>
          </cell>
          <cell r="J185" t="str">
            <v>P</v>
          </cell>
          <cell r="M185">
            <v>69</v>
          </cell>
        </row>
        <row r="186">
          <cell r="B186" t="str">
            <v>1325226616111TRHT0</v>
          </cell>
          <cell r="C186" t="str">
            <v>265/70 R16 _RANGER H/T _111_T_TL</v>
          </cell>
          <cell r="D186" t="str">
            <v>R16</v>
          </cell>
          <cell r="E186" t="str">
            <v>2666 RAN HT</v>
          </cell>
          <cell r="F186" t="str">
            <v>P</v>
          </cell>
          <cell r="H186" t="str">
            <v>P</v>
          </cell>
          <cell r="K186" t="str">
            <v>P</v>
          </cell>
          <cell r="M186">
            <v>69</v>
          </cell>
        </row>
        <row r="187">
          <cell r="B187" t="str">
            <v>1325226616111TBHT0</v>
          </cell>
          <cell r="C187" t="str">
            <v>265/70R16 BLAZZE H/T 111T  TL</v>
          </cell>
          <cell r="D187" t="str">
            <v>R16</v>
          </cell>
          <cell r="E187" t="str">
            <v>2656 BLA HT</v>
          </cell>
          <cell r="F187" t="str">
            <v>P</v>
          </cell>
          <cell r="H187" t="str">
            <v>P</v>
          </cell>
          <cell r="K187" t="str">
            <v>P</v>
          </cell>
          <cell r="M187">
            <v>69</v>
          </cell>
        </row>
        <row r="188">
          <cell r="B188" t="str">
            <v>1325226716114TRHT0</v>
          </cell>
          <cell r="C188" t="str">
            <v>265/75 R16 _RANGER H/T _114_T_TL</v>
          </cell>
          <cell r="D188" t="str">
            <v>R16</v>
          </cell>
          <cell r="E188" t="str">
            <v>2756 RAN HT</v>
          </cell>
          <cell r="F188" t="str">
            <v>P</v>
          </cell>
          <cell r="H188" t="str">
            <v>P</v>
          </cell>
          <cell r="K188" t="str">
            <v>P</v>
          </cell>
          <cell r="M188">
            <v>69</v>
          </cell>
        </row>
        <row r="189">
          <cell r="B189" t="str">
            <v>1325226716114TBHT0</v>
          </cell>
          <cell r="C189" t="str">
            <v>265/75R16 BLAZZE H/T 114T  TL</v>
          </cell>
          <cell r="D189" t="str">
            <v>R16</v>
          </cell>
          <cell r="E189" t="str">
            <v>2616 BLA HT</v>
          </cell>
          <cell r="F189" t="str">
            <v>P</v>
          </cell>
          <cell r="H189" t="str">
            <v>P</v>
          </cell>
          <cell r="K189" t="str">
            <v>P</v>
          </cell>
          <cell r="M189">
            <v>70</v>
          </cell>
        </row>
        <row r="190">
          <cell r="B190" t="str">
            <v>1325227616114TRHT0</v>
          </cell>
          <cell r="C190" t="str">
            <v>275/70 R 16_RANGER H/T _114_T_TL</v>
          </cell>
          <cell r="D190" t="str">
            <v>R16</v>
          </cell>
          <cell r="E190" t="str">
            <v>2276 RAN HT</v>
          </cell>
          <cell r="F190" t="str">
            <v>P</v>
          </cell>
          <cell r="H190" t="str">
            <v>P</v>
          </cell>
          <cell r="K190" t="str">
            <v>P</v>
          </cell>
          <cell r="M190">
            <v>69</v>
          </cell>
        </row>
        <row r="191">
          <cell r="B191" t="str">
            <v>1325227616114TBHT0</v>
          </cell>
          <cell r="C191" t="str">
            <v>275/70R16 BLAZZE H/T 114T  TL</v>
          </cell>
          <cell r="D191" t="str">
            <v>R16</v>
          </cell>
          <cell r="E191" t="str">
            <v>2716 BLA HT</v>
          </cell>
          <cell r="F191" t="str">
            <v>P</v>
          </cell>
          <cell r="H191" t="str">
            <v>P</v>
          </cell>
          <cell r="K191" t="str">
            <v>P</v>
          </cell>
          <cell r="M191">
            <v>70</v>
          </cell>
        </row>
        <row r="192">
          <cell r="C192" t="str">
            <v>235/85 R16 RANGER MT</v>
          </cell>
          <cell r="F192" t="str">
            <v>P</v>
          </cell>
          <cell r="G192" t="str">
            <v>P</v>
          </cell>
          <cell r="L192" t="str">
            <v>P</v>
          </cell>
          <cell r="M192">
            <v>72</v>
          </cell>
        </row>
        <row r="193">
          <cell r="C193" t="str">
            <v>245/70 R16 RANGER MT</v>
          </cell>
          <cell r="F193" t="str">
            <v>P</v>
          </cell>
          <cell r="G193" t="str">
            <v>P</v>
          </cell>
          <cell r="L193" t="str">
            <v>P</v>
          </cell>
          <cell r="M193">
            <v>72</v>
          </cell>
        </row>
        <row r="194">
          <cell r="C194" t="str">
            <v>265/75 R16 RANGER MT</v>
          </cell>
          <cell r="F194" t="str">
            <v>P</v>
          </cell>
          <cell r="G194" t="str">
            <v>P</v>
          </cell>
          <cell r="L194" t="str">
            <v>P</v>
          </cell>
          <cell r="M194">
            <v>72</v>
          </cell>
        </row>
        <row r="195">
          <cell r="B195" t="str">
            <v>1325214617107MSXT0</v>
          </cell>
          <cell r="C195" t="str">
            <v>T145/70R17_STAR XT_107M TL</v>
          </cell>
          <cell r="D195" t="str">
            <v>R17</v>
          </cell>
          <cell r="E195" t="str">
            <v>T1457 STAR</v>
          </cell>
          <cell r="F195" t="str">
            <v>P</v>
          </cell>
          <cell r="G195" t="str">
            <v>P</v>
          </cell>
          <cell r="M195">
            <v>68</v>
          </cell>
        </row>
        <row r="196">
          <cell r="B196" t="str">
            <v>1325221217095VUX10</v>
          </cell>
          <cell r="C196" t="str">
            <v>215/50R17 _UX1_95 V TL</v>
          </cell>
          <cell r="D196" t="str">
            <v>R17</v>
          </cell>
          <cell r="E196" t="str">
            <v>2057 UX1</v>
          </cell>
          <cell r="F196" t="str">
            <v>P</v>
          </cell>
          <cell r="H196" t="str">
            <v>P</v>
          </cell>
          <cell r="K196" t="str">
            <v>P</v>
          </cell>
          <cell r="M196">
            <v>68</v>
          </cell>
        </row>
        <row r="197">
          <cell r="C197" t="str">
            <v>215/60R17 RANGER HPE</v>
          </cell>
          <cell r="F197" t="str">
            <v>P</v>
          </cell>
          <cell r="G197" t="str">
            <v>P</v>
          </cell>
          <cell r="K197" t="str">
            <v>P</v>
          </cell>
          <cell r="M197">
            <v>68</v>
          </cell>
        </row>
        <row r="198">
          <cell r="B198" t="str">
            <v>1325221317098VUX10</v>
          </cell>
          <cell r="C198" t="str">
            <v>215/55R17 _UX1_98 V TL</v>
          </cell>
          <cell r="D198" t="str">
            <v>R17</v>
          </cell>
          <cell r="E198" t="str">
            <v>2157 UX1</v>
          </cell>
          <cell r="F198" t="str">
            <v>P</v>
          </cell>
          <cell r="K198" t="str">
            <v>P</v>
          </cell>
          <cell r="M198">
            <v>60</v>
          </cell>
        </row>
        <row r="199">
          <cell r="B199" t="str">
            <v>1325221417096HRHT0</v>
          </cell>
          <cell r="C199" t="str">
            <v>215/60R17_RANGER HT_96 H TL</v>
          </cell>
          <cell r="D199" t="str">
            <v>R17</v>
          </cell>
          <cell r="E199" t="str">
            <v>2167 RAN HT</v>
          </cell>
          <cell r="F199" t="str">
            <v>P</v>
          </cell>
          <cell r="K199" t="str">
            <v>P</v>
          </cell>
          <cell r="M199">
            <v>60</v>
          </cell>
        </row>
        <row r="200">
          <cell r="B200" t="str">
            <v>1325221417096HURL0</v>
          </cell>
          <cell r="C200" t="str">
            <v>215/60 R17_UX ROYALE_96 H TL</v>
          </cell>
          <cell r="D200" t="str">
            <v>R17</v>
          </cell>
          <cell r="E200" t="str">
            <v>2267 ROYL HYU</v>
          </cell>
          <cell r="F200" t="str">
            <v>P</v>
          </cell>
          <cell r="K200" t="str">
            <v>P</v>
          </cell>
          <cell r="M200">
            <v>58</v>
          </cell>
        </row>
        <row r="201">
          <cell r="C201" t="str">
            <v>215/55 R17 UX ROYL</v>
          </cell>
          <cell r="F201" t="str">
            <v>P</v>
          </cell>
          <cell r="J201" t="str">
            <v>P</v>
          </cell>
          <cell r="M201">
            <v>60</v>
          </cell>
        </row>
        <row r="202">
          <cell r="B202" t="str">
            <v>1325222117094YUXL0</v>
          </cell>
          <cell r="C202" t="str">
            <v>225/45 R17_UX LEVITAS_94 Y TL</v>
          </cell>
          <cell r="D202" t="str">
            <v>R17</v>
          </cell>
          <cell r="F202" t="str">
            <v>P</v>
          </cell>
          <cell r="K202" t="str">
            <v>P</v>
          </cell>
          <cell r="M202">
            <v>60</v>
          </cell>
        </row>
        <row r="203">
          <cell r="B203" t="str">
            <v>1325222217094VUX10</v>
          </cell>
          <cell r="C203" t="str">
            <v>225/50 R 17_UX1 _94_V_TL</v>
          </cell>
          <cell r="D203" t="str">
            <v>R17</v>
          </cell>
          <cell r="E203" t="str">
            <v>2217 UX1</v>
          </cell>
          <cell r="F203" t="str">
            <v>P</v>
          </cell>
          <cell r="K203" t="str">
            <v>P</v>
          </cell>
          <cell r="M203">
            <v>60</v>
          </cell>
        </row>
        <row r="204">
          <cell r="B204" t="str">
            <v>1325222217098VUX10</v>
          </cell>
          <cell r="C204" t="str">
            <v>225/50R17 UX1 98 V TL</v>
          </cell>
          <cell r="D204" t="str">
            <v>R17</v>
          </cell>
          <cell r="E204" t="str">
            <v>2227 UX1 EXP</v>
          </cell>
          <cell r="F204" t="str">
            <v>P</v>
          </cell>
          <cell r="K204" t="str">
            <v>P</v>
          </cell>
          <cell r="M204">
            <v>60</v>
          </cell>
        </row>
        <row r="205">
          <cell r="B205" t="str">
            <v>1325222317101VUX10</v>
          </cell>
          <cell r="C205" t="str">
            <v>225/55R17 _UX1_101 V TL</v>
          </cell>
          <cell r="D205" t="str">
            <v>R17</v>
          </cell>
          <cell r="E205" t="str">
            <v>2257 UX1</v>
          </cell>
          <cell r="F205" t="str">
            <v>P</v>
          </cell>
          <cell r="H205" t="str">
            <v>P</v>
          </cell>
          <cell r="K205" t="str">
            <v>P</v>
          </cell>
          <cell r="M205">
            <v>68</v>
          </cell>
        </row>
        <row r="206">
          <cell r="B206" t="str">
            <v>1325222417099HURL0</v>
          </cell>
          <cell r="C206" t="str">
            <v>225/60R17_UX ROYALE_99 H TL</v>
          </cell>
          <cell r="D206" t="str">
            <v>R17</v>
          </cell>
          <cell r="E206" t="str">
            <v>2237 ROYL</v>
          </cell>
          <cell r="F206" t="str">
            <v>P</v>
          </cell>
          <cell r="H206" t="str">
            <v>P</v>
          </cell>
          <cell r="J206" t="str">
            <v>P</v>
          </cell>
          <cell r="M206">
            <v>68</v>
          </cell>
        </row>
        <row r="207">
          <cell r="B207" t="str">
            <v>1325222517102HRHT0</v>
          </cell>
          <cell r="C207" t="str">
            <v>225/65 R17_RANGER H/T _102_H_TL</v>
          </cell>
          <cell r="D207" t="str">
            <v>R17</v>
          </cell>
          <cell r="E207" t="str">
            <v>2277 RAN HT</v>
          </cell>
          <cell r="F207" t="str">
            <v>P</v>
          </cell>
          <cell r="H207" t="str">
            <v>P</v>
          </cell>
          <cell r="K207" t="str">
            <v>P</v>
          </cell>
          <cell r="M207">
            <v>68</v>
          </cell>
        </row>
        <row r="208">
          <cell r="B208" t="str">
            <v>1325222517102HBHT0</v>
          </cell>
          <cell r="C208" t="str">
            <v>225/65R17 BLAZZE H/T 102H  TL</v>
          </cell>
          <cell r="D208" t="str">
            <v>R17</v>
          </cell>
          <cell r="E208" t="str">
            <v>2777 BLA HT</v>
          </cell>
          <cell r="F208" t="str">
            <v>P</v>
          </cell>
          <cell r="H208" t="str">
            <v>P</v>
          </cell>
          <cell r="K208" t="str">
            <v>P</v>
          </cell>
          <cell r="M208">
            <v>72</v>
          </cell>
        </row>
        <row r="209">
          <cell r="B209" t="str">
            <v>1325223317099VUX10</v>
          </cell>
          <cell r="C209" t="str">
            <v>235/55 R17_UX1 _99_V_TL</v>
          </cell>
          <cell r="D209" t="str">
            <v>R17</v>
          </cell>
          <cell r="E209" t="str">
            <v>2357 UX1</v>
          </cell>
          <cell r="F209" t="str">
            <v>P</v>
          </cell>
          <cell r="H209" t="str">
            <v>P</v>
          </cell>
          <cell r="K209" t="str">
            <v>P</v>
          </cell>
          <cell r="M209">
            <v>72</v>
          </cell>
        </row>
        <row r="210">
          <cell r="B210" t="str">
            <v>1325223317103VUX10</v>
          </cell>
          <cell r="C210" t="str">
            <v>235/55R17 UX1 103 V TL</v>
          </cell>
          <cell r="D210" t="str">
            <v>R17</v>
          </cell>
          <cell r="E210" t="str">
            <v>2557 UX1 EXP</v>
          </cell>
          <cell r="F210" t="str">
            <v>P</v>
          </cell>
          <cell r="H210" t="str">
            <v>P</v>
          </cell>
          <cell r="K210" t="str">
            <v>P</v>
          </cell>
          <cell r="M210">
            <v>68</v>
          </cell>
        </row>
        <row r="211">
          <cell r="B211" t="str">
            <v>1325223517104HRHT0</v>
          </cell>
          <cell r="C211" t="str">
            <v>235/65 R17_RANGER H/T _104_H_TL</v>
          </cell>
          <cell r="D211" t="str">
            <v>R17</v>
          </cell>
          <cell r="E211" t="str">
            <v>2367 RAN HT</v>
          </cell>
          <cell r="F211" t="str">
            <v>P</v>
          </cell>
          <cell r="H211" t="str">
            <v>P</v>
          </cell>
          <cell r="J211" t="str">
            <v>P</v>
          </cell>
          <cell r="M211">
            <v>68</v>
          </cell>
        </row>
        <row r="212">
          <cell r="B212" t="str">
            <v>1325223517104HENX0</v>
          </cell>
          <cell r="C212" t="str">
            <v>235/65 R17_ELANZO NXT_104_H_TL</v>
          </cell>
          <cell r="D212" t="str">
            <v>R17</v>
          </cell>
          <cell r="F212" t="str">
            <v>P</v>
          </cell>
          <cell r="H212" t="str">
            <v>P</v>
          </cell>
          <cell r="J212" t="str">
            <v>P</v>
          </cell>
          <cell r="M212">
            <v>68</v>
          </cell>
        </row>
        <row r="213">
          <cell r="B213" t="str">
            <v>1325223517104HETRE</v>
          </cell>
          <cell r="C213" t="str">
            <v>235/65R17 Elanzo Touring 104H</v>
          </cell>
          <cell r="D213" t="str">
            <v>R17</v>
          </cell>
          <cell r="F213" t="str">
            <v>P</v>
          </cell>
          <cell r="H213" t="str">
            <v>P</v>
          </cell>
          <cell r="J213" t="str">
            <v>P</v>
          </cell>
          <cell r="M213">
            <v>68</v>
          </cell>
        </row>
        <row r="214">
          <cell r="B214" t="str">
            <v>1325223517104HRHP0</v>
          </cell>
          <cell r="C214" t="str">
            <v>235/65R17 Ranger H/T+ 104H</v>
          </cell>
          <cell r="D214" t="str">
            <v>R17</v>
          </cell>
          <cell r="F214" t="str">
            <v>P</v>
          </cell>
          <cell r="H214" t="str">
            <v>P</v>
          </cell>
          <cell r="J214" t="str">
            <v>P</v>
          </cell>
          <cell r="M214">
            <v>72</v>
          </cell>
        </row>
        <row r="215">
          <cell r="B215" t="str">
            <v>1325223517104HRHT1</v>
          </cell>
          <cell r="C215" t="str">
            <v>235/65 R17 RANGER HT 104H RWL</v>
          </cell>
          <cell r="D215" t="str">
            <v>R17</v>
          </cell>
          <cell r="F215" t="str">
            <v>P</v>
          </cell>
          <cell r="H215" t="str">
            <v>P</v>
          </cell>
          <cell r="J215" t="str">
            <v>P</v>
          </cell>
          <cell r="M215">
            <v>68</v>
          </cell>
        </row>
        <row r="216">
          <cell r="B216" t="str">
            <v>1325223517104HBHT0</v>
          </cell>
          <cell r="C216" t="str">
            <v>235/65R17 BLAZZE H/T 104H TL</v>
          </cell>
          <cell r="D216" t="str">
            <v>R17</v>
          </cell>
          <cell r="E216" t="str">
            <v>2337 BLA HT</v>
          </cell>
          <cell r="F216" t="str">
            <v>P</v>
          </cell>
          <cell r="H216" t="str">
            <v>P</v>
          </cell>
          <cell r="J216" t="str">
            <v>P</v>
          </cell>
          <cell r="M216">
            <v>68</v>
          </cell>
        </row>
        <row r="217">
          <cell r="B217" t="str">
            <v xml:space="preserve">1325223517104HRHT1 </v>
          </cell>
          <cell r="C217" t="str">
            <v>235/65R17 RANGER H/T</v>
          </cell>
          <cell r="D217" t="str">
            <v>R17</v>
          </cell>
          <cell r="E217" t="str">
            <v>2017 RAN HTW</v>
          </cell>
          <cell r="F217" t="str">
            <v>P</v>
          </cell>
          <cell r="H217" t="str">
            <v>P</v>
          </cell>
          <cell r="J217" t="str">
            <v>P</v>
          </cell>
          <cell r="M217">
            <v>68</v>
          </cell>
        </row>
        <row r="218">
          <cell r="B218" t="str">
            <v>1325223517104HETR0</v>
          </cell>
          <cell r="C218" t="str">
            <v>235/65R17 Elanzo Touring 104 H Export</v>
          </cell>
          <cell r="D218" t="str">
            <v>R17</v>
          </cell>
          <cell r="E218" t="str">
            <v>2567 EZO TOU</v>
          </cell>
          <cell r="F218" t="str">
            <v>P</v>
          </cell>
          <cell r="H218" t="str">
            <v>P</v>
          </cell>
          <cell r="K218" t="str">
            <v>P</v>
          </cell>
          <cell r="M218">
            <v>68</v>
          </cell>
        </row>
        <row r="219">
          <cell r="B219" t="str">
            <v>1325224117099VUX10</v>
          </cell>
          <cell r="C219" t="str">
            <v>245/45R17_UX1_99V TL</v>
          </cell>
          <cell r="D219" t="str">
            <v>R17</v>
          </cell>
          <cell r="E219" t="str">
            <v>2417 UX1</v>
          </cell>
          <cell r="F219" t="str">
            <v>P</v>
          </cell>
          <cell r="G219" t="str">
            <v>P</v>
          </cell>
          <cell r="K219" t="str">
            <v>P</v>
          </cell>
          <cell r="M219">
            <v>68</v>
          </cell>
        </row>
        <row r="220">
          <cell r="B220" t="str">
            <v>1325224117099WLEVY</v>
          </cell>
          <cell r="C220" t="str">
            <v>245/45 R17_LEVITAS ULTRA_99W  TL</v>
          </cell>
          <cell r="D220" t="str">
            <v>R17</v>
          </cell>
          <cell r="E220" t="str">
            <v>2447 LEVI</v>
          </cell>
          <cell r="F220" t="str">
            <v>P</v>
          </cell>
          <cell r="G220" t="str">
            <v>P</v>
          </cell>
          <cell r="K220" t="str">
            <v>P</v>
          </cell>
          <cell r="M220">
            <v>68</v>
          </cell>
        </row>
        <row r="221">
          <cell r="C221" t="str">
            <v>265/55 R17 RANGER XAT</v>
          </cell>
          <cell r="F221" t="str">
            <v>P</v>
          </cell>
          <cell r="G221" t="str">
            <v>P</v>
          </cell>
          <cell r="L221" t="str">
            <v>P</v>
          </cell>
          <cell r="M221">
            <v>68</v>
          </cell>
        </row>
        <row r="222">
          <cell r="B222" t="str">
            <v>1325226517112HRHT0</v>
          </cell>
          <cell r="C222" t="str">
            <v>265/65 R17_RANGER H/T _112_H_TL</v>
          </cell>
          <cell r="D222" t="str">
            <v>R17</v>
          </cell>
          <cell r="E222" t="str">
            <v>2667 RAN HT</v>
          </cell>
          <cell r="F222" t="str">
            <v>P</v>
          </cell>
          <cell r="H222" t="str">
            <v>P</v>
          </cell>
          <cell r="K222" t="str">
            <v>P</v>
          </cell>
          <cell r="M222">
            <v>72</v>
          </cell>
        </row>
        <row r="223">
          <cell r="B223" t="str">
            <v>1325226517112HBHT0</v>
          </cell>
          <cell r="C223" t="str">
            <v>265/65R17 BLAZZE H/T 112H TL</v>
          </cell>
          <cell r="D223" t="str">
            <v>R17</v>
          </cell>
          <cell r="E223" t="str">
            <v>2657 BLA HT</v>
          </cell>
          <cell r="F223" t="str">
            <v>P</v>
          </cell>
          <cell r="H223" t="str">
            <v>P</v>
          </cell>
          <cell r="K223" t="str">
            <v>P</v>
          </cell>
          <cell r="M223">
            <v>72</v>
          </cell>
        </row>
        <row r="224">
          <cell r="B224" t="str">
            <v>1325226517112HRHT1</v>
          </cell>
          <cell r="C224" t="str">
            <v>265/65 R17_RANGER H/T</v>
          </cell>
          <cell r="D224" t="str">
            <v>R17</v>
          </cell>
          <cell r="E224" t="str">
            <v>2117 RAN HTW</v>
          </cell>
          <cell r="F224" t="str">
            <v>P</v>
          </cell>
          <cell r="H224" t="str">
            <v>P</v>
          </cell>
          <cell r="K224" t="str">
            <v>P</v>
          </cell>
          <cell r="M224">
            <v>68</v>
          </cell>
        </row>
        <row r="225">
          <cell r="C225" t="str">
            <v>235/65 R17 RANGER XAT WSW</v>
          </cell>
          <cell r="F225" t="str">
            <v>P</v>
          </cell>
          <cell r="G225" t="str">
            <v>P</v>
          </cell>
          <cell r="L225" t="str">
            <v>P</v>
          </cell>
          <cell r="M225">
            <v>74</v>
          </cell>
        </row>
        <row r="226">
          <cell r="B226" t="str">
            <v>1325226617118QRMT0</v>
          </cell>
          <cell r="C226" t="str">
            <v>265/70 R17 RANGERM/T</v>
          </cell>
          <cell r="D226" t="str">
            <v>R17</v>
          </cell>
          <cell r="E226" t="str">
            <v>2677 RAN MT</v>
          </cell>
          <cell r="F226" t="str">
            <v>P</v>
          </cell>
          <cell r="G226" t="str">
            <v>P</v>
          </cell>
          <cell r="I226" t="str">
            <v>P</v>
          </cell>
          <cell r="J226" t="str">
            <v>P</v>
          </cell>
          <cell r="M226">
            <v>74</v>
          </cell>
        </row>
        <row r="227">
          <cell r="B227" t="str">
            <v>1325226617121LRMTZ</v>
          </cell>
          <cell r="C227" t="str">
            <v>265/70R17LT_RANGER M/T_121/118 L 10 PR T</v>
          </cell>
          <cell r="D227" t="str">
            <v>R17</v>
          </cell>
          <cell r="F227" t="str">
            <v>P</v>
          </cell>
          <cell r="G227" t="str">
            <v>P</v>
          </cell>
          <cell r="L227" t="str">
            <v>P</v>
          </cell>
          <cell r="M227">
            <v>74</v>
          </cell>
        </row>
        <row r="228">
          <cell r="B228" t="str">
            <v>1325226617115TRHT0</v>
          </cell>
          <cell r="C228" t="str">
            <v>265/70R17_RANGER HT_115 T TL</v>
          </cell>
          <cell r="D228" t="str">
            <v>R17</v>
          </cell>
          <cell r="E228" t="str">
            <v>2627 RAN HT</v>
          </cell>
          <cell r="F228" t="str">
            <v>P</v>
          </cell>
          <cell r="H228" t="str">
            <v>P</v>
          </cell>
          <cell r="J228" t="str">
            <v>P</v>
          </cell>
          <cell r="M228">
            <v>72</v>
          </cell>
        </row>
        <row r="229">
          <cell r="B229" t="str">
            <v>1325221318095HURL0</v>
          </cell>
          <cell r="C229" t="str">
            <v>215/55R18_UX ROYALE_95H TL</v>
          </cell>
          <cell r="D229" t="str">
            <v>R18</v>
          </cell>
          <cell r="E229" t="str">
            <v>2158 ROYL HYU</v>
          </cell>
          <cell r="F229" t="str">
            <v>P</v>
          </cell>
          <cell r="K229" t="str">
            <v>P</v>
          </cell>
          <cell r="M229">
            <v>62</v>
          </cell>
        </row>
        <row r="230">
          <cell r="B230" t="str">
            <v>1325222418104HUX10</v>
          </cell>
          <cell r="C230" t="str">
            <v>225/60R18_UX1_104H TL</v>
          </cell>
          <cell r="D230" t="str">
            <v>R18</v>
          </cell>
          <cell r="E230" t="str">
            <v>2268 UX1</v>
          </cell>
          <cell r="F230" t="str">
            <v>P</v>
          </cell>
          <cell r="G230" t="str">
            <v>P</v>
          </cell>
          <cell r="K230" t="str">
            <v>P</v>
          </cell>
          <cell r="M230">
            <v>70</v>
          </cell>
        </row>
        <row r="231">
          <cell r="B231" t="str">
            <v>1325223118098VUX10</v>
          </cell>
          <cell r="C231" t="str">
            <v>235/45R18 _UX1_98 V TL</v>
          </cell>
          <cell r="D231" t="str">
            <v>R18</v>
          </cell>
          <cell r="E231" t="str">
            <v>2348 UX1</v>
          </cell>
          <cell r="F231" t="str">
            <v>P</v>
          </cell>
          <cell r="H231" t="str">
            <v>P</v>
          </cell>
          <cell r="K231" t="str">
            <v>P</v>
          </cell>
          <cell r="M231">
            <v>70</v>
          </cell>
        </row>
        <row r="232">
          <cell r="B232" t="str">
            <v>1325223418103VETR0</v>
          </cell>
          <cell r="C232" t="str">
            <v>235/60R18_ELANZO TOURING_103V TL</v>
          </cell>
          <cell r="D232" t="str">
            <v>R18</v>
          </cell>
          <cell r="E232" t="str">
            <v>2368 EZO TOU</v>
          </cell>
          <cell r="F232" t="str">
            <v>P</v>
          </cell>
          <cell r="H232" t="str">
            <v>P</v>
          </cell>
          <cell r="L232" t="str">
            <v>P</v>
          </cell>
          <cell r="M232">
            <v>70</v>
          </cell>
        </row>
        <row r="233">
          <cell r="B233" t="str">
            <v>1325223518106HETR0</v>
          </cell>
          <cell r="C233" t="str">
            <v>235/65R18 Elanzo Touring 106 H Export</v>
          </cell>
          <cell r="D233" t="str">
            <v>R18</v>
          </cell>
          <cell r="E233" t="str">
            <v>2338 EZO TOU</v>
          </cell>
          <cell r="F233" t="str">
            <v>P</v>
          </cell>
          <cell r="H233" t="str">
            <v>P</v>
          </cell>
          <cell r="L233" t="str">
            <v>P</v>
          </cell>
          <cell r="M233">
            <v>70</v>
          </cell>
        </row>
        <row r="234">
          <cell r="B234" t="str">
            <v>1325224018097WUX10</v>
          </cell>
          <cell r="C234" t="str">
            <v>245/40R18_UX1_97W TL</v>
          </cell>
          <cell r="D234" t="str">
            <v>R18</v>
          </cell>
          <cell r="E234" t="str">
            <v>2408 UX1</v>
          </cell>
          <cell r="F234" t="str">
            <v>P</v>
          </cell>
          <cell r="G234" t="str">
            <v>P</v>
          </cell>
          <cell r="K234" t="str">
            <v>P</v>
          </cell>
          <cell r="M234">
            <v>70</v>
          </cell>
        </row>
        <row r="235">
          <cell r="B235" t="str">
            <v>1325224118100YLEV0</v>
          </cell>
          <cell r="C235" t="str">
            <v>245/45R18_ LEVITAS ULTRA _100 Y  TL</v>
          </cell>
          <cell r="D235" t="str">
            <v>R18</v>
          </cell>
          <cell r="F235" t="str">
            <v>P</v>
          </cell>
          <cell r="G235" t="str">
            <v>P</v>
          </cell>
          <cell r="L235" t="str">
            <v>P</v>
          </cell>
          <cell r="M235">
            <v>70</v>
          </cell>
        </row>
        <row r="236">
          <cell r="B236" t="str">
            <v>1325224118100WUX10</v>
          </cell>
          <cell r="C236" t="str">
            <v>245/45R18_UX1_100W TL</v>
          </cell>
          <cell r="D236" t="str">
            <v>R18</v>
          </cell>
          <cell r="E236" t="str">
            <v>2448 UX1</v>
          </cell>
          <cell r="F236" t="str">
            <v>P</v>
          </cell>
          <cell r="G236" t="str">
            <v>P</v>
          </cell>
          <cell r="K236" t="str">
            <v>P</v>
          </cell>
          <cell r="M236">
            <v>70</v>
          </cell>
        </row>
        <row r="237">
          <cell r="C237" t="str">
            <v>215/55R18_ RAN HT95H TL</v>
          </cell>
          <cell r="F237" t="str">
            <v>P</v>
          </cell>
          <cell r="G237" t="str">
            <v>P</v>
          </cell>
          <cell r="M237">
            <v>70</v>
          </cell>
        </row>
        <row r="238">
          <cell r="C238" t="str">
            <v>235/60 R18 RANGER XAT WSW</v>
          </cell>
          <cell r="F238" t="str">
            <v>P</v>
          </cell>
          <cell r="G238" t="str">
            <v>P</v>
          </cell>
          <cell r="L238" t="str">
            <v>P</v>
          </cell>
          <cell r="M238">
            <v>70</v>
          </cell>
        </row>
        <row r="239">
          <cell r="C239" t="str">
            <v>265/60 R18 RANGER HT</v>
          </cell>
          <cell r="F239" t="str">
            <v>P</v>
          </cell>
          <cell r="G239" t="str">
            <v>P</v>
          </cell>
          <cell r="K239" t="str">
            <v>P</v>
          </cell>
          <cell r="M239">
            <v>70</v>
          </cell>
        </row>
        <row r="240">
          <cell r="C240" t="str">
            <v xml:space="preserve"> 255/65 R18 RANGER HT</v>
          </cell>
          <cell r="F240" t="str">
            <v>P</v>
          </cell>
          <cell r="G240" t="str">
            <v>P</v>
          </cell>
          <cell r="K240" t="str">
            <v>P</v>
          </cell>
          <cell r="M240">
            <v>74</v>
          </cell>
        </row>
        <row r="241">
          <cell r="C241" t="str">
            <v xml:space="preserve"> 255/65 R18 RANGER ATW</v>
          </cell>
          <cell r="F241" t="str">
            <v>P</v>
          </cell>
          <cell r="G241" t="str">
            <v>P</v>
          </cell>
          <cell r="K241" t="str">
            <v>P</v>
          </cell>
          <cell r="M241">
            <v>74</v>
          </cell>
        </row>
        <row r="242">
          <cell r="C242" t="str">
            <v xml:space="preserve"> 255/65 R18 RANGER AT B</v>
          </cell>
          <cell r="F242" t="str">
            <v>P</v>
          </cell>
          <cell r="G242" t="str">
            <v>P</v>
          </cell>
          <cell r="K242" t="str">
            <v>P</v>
          </cell>
          <cell r="M242">
            <v>74</v>
          </cell>
        </row>
      </sheetData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1853-56EE-4917-AC94-EF3B897AC417}">
  <dimension ref="A1:O279"/>
  <sheetViews>
    <sheetView tabSelected="1" zoomScale="80" zoomScaleNormal="80" workbookViewId="0">
      <selection activeCell="D8" sqref="D8"/>
    </sheetView>
  </sheetViews>
  <sheetFormatPr defaultColWidth="8.7109375" defaultRowHeight="14.45"/>
  <cols>
    <col min="1" max="1" width="20.42578125" style="28" customWidth="1"/>
    <col min="2" max="2" width="26" style="28" bestFit="1" customWidth="1"/>
    <col min="3" max="3" width="13.85546875" style="28" customWidth="1"/>
    <col min="4" max="4" width="30.28515625" style="28" bestFit="1" customWidth="1"/>
    <col min="5" max="5" width="42.42578125" style="28" bestFit="1" customWidth="1"/>
    <col min="6" max="6" width="11.42578125" style="28" customWidth="1"/>
    <col min="7" max="7" width="9.42578125" style="8" customWidth="1"/>
    <col min="8" max="8" width="13.140625" style="8" customWidth="1"/>
    <col min="9" max="9" width="12.42578125" style="8" customWidth="1"/>
    <col min="10" max="10" width="16.7109375" style="8" bestFit="1" customWidth="1"/>
    <col min="11" max="11" width="14.42578125" style="8" bestFit="1" customWidth="1"/>
    <col min="12" max="12" width="16.85546875" style="30" customWidth="1"/>
    <col min="13" max="13" width="14.42578125" style="8" customWidth="1"/>
    <col min="14" max="14" width="13.85546875" style="8" customWidth="1"/>
    <col min="15" max="16384" width="8.7109375" style="8"/>
  </cols>
  <sheetData>
    <row r="1" spans="1:15" ht="29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7" t="s">
        <v>13</v>
      </c>
      <c r="O1" s="7" t="s">
        <v>14</v>
      </c>
    </row>
    <row r="2" spans="1:15">
      <c r="A2" s="9" t="s">
        <v>15</v>
      </c>
      <c r="B2" s="10"/>
      <c r="C2" s="10" t="s">
        <v>16</v>
      </c>
      <c r="D2" s="10" t="s">
        <v>17</v>
      </c>
      <c r="E2" s="11" t="e">
        <v>#N/A</v>
      </c>
      <c r="F2" s="9"/>
      <c r="G2" s="12"/>
      <c r="H2" s="12"/>
      <c r="I2" s="12"/>
      <c r="J2" s="13" t="e">
        <v>#N/A</v>
      </c>
      <c r="K2" s="13" t="e">
        <v>#N/A</v>
      </c>
      <c r="L2" s="13" t="e">
        <v>#N/A</v>
      </c>
      <c r="M2" s="13" t="e">
        <v>#N/A</v>
      </c>
      <c r="N2" s="12" t="e">
        <v>#N/A</v>
      </c>
      <c r="O2" s="12" t="e">
        <v>#N/A</v>
      </c>
    </row>
    <row r="3" spans="1:15">
      <c r="A3" s="9" t="s">
        <v>18</v>
      </c>
      <c r="B3" s="9" t="s">
        <v>19</v>
      </c>
      <c r="C3" s="9" t="s">
        <v>20</v>
      </c>
      <c r="D3" s="9" t="s">
        <v>21</v>
      </c>
      <c r="E3" s="11" t="s">
        <v>22</v>
      </c>
      <c r="F3" s="9" t="s">
        <v>23</v>
      </c>
      <c r="G3" s="12"/>
      <c r="H3" s="12"/>
      <c r="I3" s="12"/>
      <c r="J3" s="13">
        <v>48</v>
      </c>
      <c r="K3" s="13">
        <v>51</v>
      </c>
      <c r="L3" s="13">
        <v>50</v>
      </c>
      <c r="M3" s="13">
        <v>54</v>
      </c>
      <c r="N3" s="14">
        <v>0.83333333333333337</v>
      </c>
      <c r="O3" s="14">
        <v>0.9</v>
      </c>
    </row>
    <row r="4" spans="1:15">
      <c r="A4" s="9" t="s">
        <v>24</v>
      </c>
      <c r="B4" s="9" t="s">
        <v>25</v>
      </c>
      <c r="C4" s="9" t="s">
        <v>20</v>
      </c>
      <c r="D4" s="9" t="s">
        <v>26</v>
      </c>
      <c r="E4" s="11" t="s">
        <v>27</v>
      </c>
      <c r="F4" s="9" t="s">
        <v>23</v>
      </c>
      <c r="G4" s="12"/>
      <c r="H4" s="12"/>
      <c r="I4" s="12"/>
      <c r="J4" s="13">
        <v>48</v>
      </c>
      <c r="K4" s="13">
        <v>51</v>
      </c>
      <c r="L4" s="13">
        <v>50</v>
      </c>
      <c r="M4" s="13">
        <v>54</v>
      </c>
      <c r="N4" s="14">
        <v>0.83333333333333337</v>
      </c>
      <c r="O4" s="14">
        <v>0.9</v>
      </c>
    </row>
    <row r="5" spans="1:15">
      <c r="A5" s="9" t="s">
        <v>28</v>
      </c>
      <c r="B5" s="5" t="s">
        <v>29</v>
      </c>
      <c r="C5" s="9" t="s">
        <v>30</v>
      </c>
      <c r="D5" s="9" t="s">
        <v>31</v>
      </c>
      <c r="E5" s="11" t="s">
        <v>32</v>
      </c>
      <c r="F5" s="9" t="s">
        <v>23</v>
      </c>
      <c r="G5" s="12"/>
      <c r="H5" s="12"/>
      <c r="I5" s="12"/>
      <c r="J5" s="13">
        <v>48</v>
      </c>
      <c r="K5" s="13">
        <v>51</v>
      </c>
      <c r="L5" s="13">
        <v>50</v>
      </c>
      <c r="M5" s="13">
        <v>54</v>
      </c>
      <c r="N5" s="14">
        <v>0.83333333333333337</v>
      </c>
      <c r="O5" s="14">
        <v>0.9</v>
      </c>
    </row>
    <row r="6" spans="1:15">
      <c r="A6" s="9" t="s">
        <v>33</v>
      </c>
      <c r="B6" s="9" t="s">
        <v>34</v>
      </c>
      <c r="C6" s="9" t="s">
        <v>20</v>
      </c>
      <c r="D6" s="9" t="s">
        <v>35</v>
      </c>
      <c r="E6" s="11" t="s">
        <v>36</v>
      </c>
      <c r="F6" s="9" t="s">
        <v>23</v>
      </c>
      <c r="G6" s="12"/>
      <c r="H6" s="12"/>
      <c r="I6" s="12"/>
      <c r="J6" s="13">
        <v>46</v>
      </c>
      <c r="K6" s="13">
        <v>49</v>
      </c>
      <c r="L6" s="13">
        <v>48</v>
      </c>
      <c r="M6" s="13">
        <v>51</v>
      </c>
      <c r="N6" s="14">
        <v>0.8</v>
      </c>
      <c r="O6" s="14">
        <v>0.85</v>
      </c>
    </row>
    <row r="7" spans="1:15">
      <c r="A7" s="9" t="s">
        <v>37</v>
      </c>
      <c r="B7" s="9" t="s">
        <v>38</v>
      </c>
      <c r="C7" s="9" t="s">
        <v>30</v>
      </c>
      <c r="D7" s="9" t="s">
        <v>39</v>
      </c>
      <c r="E7" s="11" t="s">
        <v>40</v>
      </c>
      <c r="F7" s="9" t="s">
        <v>23</v>
      </c>
      <c r="G7" s="12"/>
      <c r="H7" s="12"/>
      <c r="I7" s="12"/>
      <c r="J7" s="13" t="e">
        <v>#N/A</v>
      </c>
      <c r="K7" s="13" t="e">
        <v>#N/A</v>
      </c>
      <c r="L7" s="13" t="e">
        <v>#N/A</v>
      </c>
      <c r="M7" s="13" t="e">
        <v>#N/A</v>
      </c>
      <c r="N7" s="14" t="e">
        <v>#N/A</v>
      </c>
      <c r="O7" s="14" t="e">
        <v>#N/A</v>
      </c>
    </row>
    <row r="8" spans="1:15" ht="15">
      <c r="A8" s="9" t="s">
        <v>41</v>
      </c>
      <c r="B8" s="9" t="s">
        <v>42</v>
      </c>
      <c r="C8" s="9" t="s">
        <v>20</v>
      </c>
      <c r="D8" s="9" t="s">
        <v>43</v>
      </c>
      <c r="E8" s="11" t="s">
        <v>44</v>
      </c>
      <c r="F8" s="9" t="s">
        <v>23</v>
      </c>
      <c r="G8" s="12"/>
      <c r="H8" s="12"/>
      <c r="I8" s="12"/>
      <c r="J8" s="13">
        <v>48</v>
      </c>
      <c r="K8" s="13">
        <v>51</v>
      </c>
      <c r="L8" s="13">
        <v>50</v>
      </c>
      <c r="M8" s="13">
        <v>54</v>
      </c>
      <c r="N8" s="14">
        <v>0.83333333333333337</v>
      </c>
      <c r="O8" s="14">
        <v>0.9</v>
      </c>
    </row>
    <row r="9" spans="1:15">
      <c r="A9" s="9" t="s">
        <v>45</v>
      </c>
      <c r="B9" s="9" t="s">
        <v>46</v>
      </c>
      <c r="C9" s="9" t="s">
        <v>20</v>
      </c>
      <c r="D9" s="9" t="s">
        <v>47</v>
      </c>
      <c r="E9" s="11" t="s">
        <v>48</v>
      </c>
      <c r="F9" s="9" t="s">
        <v>23</v>
      </c>
      <c r="G9" s="12"/>
      <c r="H9" s="12"/>
      <c r="I9" s="12"/>
      <c r="J9" s="13">
        <v>46</v>
      </c>
      <c r="K9" s="13">
        <v>49</v>
      </c>
      <c r="L9" s="13">
        <v>48</v>
      </c>
      <c r="M9" s="13">
        <v>51</v>
      </c>
      <c r="N9" s="14">
        <v>0.8</v>
      </c>
      <c r="O9" s="14">
        <v>0.85</v>
      </c>
    </row>
    <row r="10" spans="1:15">
      <c r="A10" s="9" t="s">
        <v>49</v>
      </c>
      <c r="B10" s="9" t="s">
        <v>50</v>
      </c>
      <c r="C10" s="9" t="s">
        <v>20</v>
      </c>
      <c r="D10" s="9" t="s">
        <v>51</v>
      </c>
      <c r="E10" s="11" t="s">
        <v>52</v>
      </c>
      <c r="F10" s="9" t="s">
        <v>23</v>
      </c>
      <c r="G10" s="12"/>
      <c r="H10" s="12"/>
      <c r="I10" s="12"/>
      <c r="J10" s="13">
        <v>46</v>
      </c>
      <c r="K10" s="13">
        <v>49</v>
      </c>
      <c r="L10" s="13">
        <v>48</v>
      </c>
      <c r="M10" s="13">
        <v>51</v>
      </c>
      <c r="N10" s="14">
        <v>0.8</v>
      </c>
      <c r="O10" s="14">
        <v>0.85</v>
      </c>
    </row>
    <row r="11" spans="1:15">
      <c r="A11" s="9" t="s">
        <v>53</v>
      </c>
      <c r="B11" s="9" t="s">
        <v>54</v>
      </c>
      <c r="C11" s="9" t="s">
        <v>20</v>
      </c>
      <c r="D11" s="9" t="s">
        <v>55</v>
      </c>
      <c r="E11" s="11" t="s">
        <v>56</v>
      </c>
      <c r="F11" s="9" t="s">
        <v>23</v>
      </c>
      <c r="G11" s="12"/>
      <c r="H11" s="12"/>
      <c r="I11" s="12"/>
      <c r="J11" s="13">
        <v>46</v>
      </c>
      <c r="K11" s="13">
        <v>49</v>
      </c>
      <c r="L11" s="13">
        <v>48</v>
      </c>
      <c r="M11" s="13">
        <v>51</v>
      </c>
      <c r="N11" s="14">
        <v>0.8</v>
      </c>
      <c r="O11" s="14">
        <v>0.85</v>
      </c>
    </row>
    <row r="12" spans="1:15">
      <c r="A12" s="9" t="s">
        <v>57</v>
      </c>
      <c r="B12" s="9" t="s">
        <v>58</v>
      </c>
      <c r="C12" s="9" t="s">
        <v>59</v>
      </c>
      <c r="D12" s="9" t="s">
        <v>60</v>
      </c>
      <c r="E12" s="11" t="s">
        <v>61</v>
      </c>
      <c r="F12" s="9" t="s">
        <v>23</v>
      </c>
      <c r="G12" s="12"/>
      <c r="H12" s="12"/>
      <c r="I12" s="12"/>
      <c r="J12" s="13">
        <v>48</v>
      </c>
      <c r="K12" s="13">
        <v>51</v>
      </c>
      <c r="L12" s="13">
        <v>50</v>
      </c>
      <c r="M12" s="13">
        <v>54</v>
      </c>
      <c r="N12" s="14">
        <v>0.83333333333333337</v>
      </c>
      <c r="O12" s="14">
        <v>0.9</v>
      </c>
    </row>
    <row r="13" spans="1:15">
      <c r="A13" s="9" t="s">
        <v>62</v>
      </c>
      <c r="B13" s="9" t="s">
        <v>63</v>
      </c>
      <c r="C13" s="9" t="s">
        <v>20</v>
      </c>
      <c r="D13" s="9" t="s">
        <v>64</v>
      </c>
      <c r="E13" s="11" t="s">
        <v>65</v>
      </c>
      <c r="F13" s="9" t="s">
        <v>23</v>
      </c>
      <c r="G13" s="12"/>
      <c r="H13" s="12"/>
      <c r="I13" s="12"/>
      <c r="J13" s="13">
        <v>46</v>
      </c>
      <c r="K13" s="13">
        <v>49</v>
      </c>
      <c r="L13" s="13">
        <v>48</v>
      </c>
      <c r="M13" s="13">
        <v>51</v>
      </c>
      <c r="N13" s="14">
        <v>0.8</v>
      </c>
      <c r="O13" s="14">
        <v>0.85</v>
      </c>
    </row>
    <row r="14" spans="1:15">
      <c r="A14" s="9" t="s">
        <v>66</v>
      </c>
      <c r="B14" s="9" t="s">
        <v>67</v>
      </c>
      <c r="C14" s="9" t="s">
        <v>59</v>
      </c>
      <c r="D14" s="9" t="s">
        <v>68</v>
      </c>
      <c r="E14" s="11" t="s">
        <v>69</v>
      </c>
      <c r="F14" s="9" t="s">
        <v>23</v>
      </c>
      <c r="G14" s="12"/>
      <c r="H14" s="12"/>
      <c r="I14" s="12"/>
      <c r="J14" s="13">
        <v>48</v>
      </c>
      <c r="K14" s="13">
        <v>51</v>
      </c>
      <c r="L14" s="13">
        <v>50</v>
      </c>
      <c r="M14" s="13">
        <v>54</v>
      </c>
      <c r="N14" s="14">
        <v>0.83333333333333337</v>
      </c>
      <c r="O14" s="14">
        <v>0.9</v>
      </c>
    </row>
    <row r="15" spans="1:15" ht="15">
      <c r="A15" s="9" t="s">
        <v>70</v>
      </c>
      <c r="B15" s="9" t="s">
        <v>71</v>
      </c>
      <c r="C15" s="9" t="s">
        <v>20</v>
      </c>
      <c r="D15" s="9" t="s">
        <v>72</v>
      </c>
      <c r="E15" s="11" t="s">
        <v>73</v>
      </c>
      <c r="F15" s="9" t="s">
        <v>23</v>
      </c>
      <c r="G15" s="12"/>
      <c r="H15" s="12"/>
      <c r="I15" s="12"/>
      <c r="J15" s="13" t="e">
        <v>#N/A</v>
      </c>
      <c r="K15" s="13" t="e">
        <v>#N/A</v>
      </c>
      <c r="L15" s="13" t="e">
        <v>#N/A</v>
      </c>
      <c r="M15" s="13" t="e">
        <v>#N/A</v>
      </c>
      <c r="N15" s="14" t="e">
        <v>#N/A</v>
      </c>
      <c r="O15" s="14" t="e">
        <v>#N/A</v>
      </c>
    </row>
    <row r="16" spans="1:15">
      <c r="A16" s="9" t="s">
        <v>74</v>
      </c>
      <c r="B16" s="9" t="s">
        <v>75</v>
      </c>
      <c r="C16" s="9" t="s">
        <v>20</v>
      </c>
      <c r="D16" s="9" t="s">
        <v>76</v>
      </c>
      <c r="E16" s="11" t="s">
        <v>77</v>
      </c>
      <c r="F16" s="9" t="s">
        <v>23</v>
      </c>
      <c r="G16" s="12"/>
      <c r="H16" s="12"/>
      <c r="I16" s="12"/>
      <c r="J16" s="13">
        <v>48</v>
      </c>
      <c r="K16" s="13">
        <v>51</v>
      </c>
      <c r="L16" s="13">
        <v>50</v>
      </c>
      <c r="M16" s="13">
        <v>54</v>
      </c>
      <c r="N16" s="14">
        <v>0.83333333333333337</v>
      </c>
      <c r="O16" s="14">
        <v>0.9</v>
      </c>
    </row>
    <row r="17" spans="1:15">
      <c r="A17" s="9" t="s">
        <v>78</v>
      </c>
      <c r="B17" s="9" t="s">
        <v>79</v>
      </c>
      <c r="C17" s="9" t="s">
        <v>20</v>
      </c>
      <c r="D17" s="9" t="s">
        <v>80</v>
      </c>
      <c r="E17" s="11" t="s">
        <v>81</v>
      </c>
      <c r="F17" s="9" t="s">
        <v>23</v>
      </c>
      <c r="G17" s="12"/>
      <c r="H17" s="12"/>
      <c r="I17" s="12"/>
      <c r="J17" s="13">
        <v>46</v>
      </c>
      <c r="K17" s="13">
        <v>49</v>
      </c>
      <c r="L17" s="13">
        <v>48</v>
      </c>
      <c r="M17" s="13">
        <v>51</v>
      </c>
      <c r="N17" s="14">
        <v>0.8</v>
      </c>
      <c r="O17" s="14">
        <v>0.85</v>
      </c>
    </row>
    <row r="18" spans="1:15">
      <c r="A18" s="9" t="s">
        <v>82</v>
      </c>
      <c r="B18" s="9" t="s">
        <v>83</v>
      </c>
      <c r="C18" s="9" t="s">
        <v>20</v>
      </c>
      <c r="D18" s="9" t="s">
        <v>84</v>
      </c>
      <c r="E18" s="11" t="s">
        <v>85</v>
      </c>
      <c r="F18" s="9" t="s">
        <v>23</v>
      </c>
      <c r="G18" s="12"/>
      <c r="H18" s="12"/>
      <c r="I18" s="12"/>
      <c r="J18" s="13">
        <v>46</v>
      </c>
      <c r="K18" s="13">
        <v>49</v>
      </c>
      <c r="L18" s="13">
        <v>48</v>
      </c>
      <c r="M18" s="13">
        <v>51</v>
      </c>
      <c r="N18" s="14">
        <v>0.8</v>
      </c>
      <c r="O18" s="14">
        <v>0.85</v>
      </c>
    </row>
    <row r="19" spans="1:15">
      <c r="A19" s="16" t="s">
        <v>86</v>
      </c>
      <c r="B19" s="10" t="s">
        <v>87</v>
      </c>
      <c r="C19" s="10"/>
      <c r="D19" s="10" t="s">
        <v>88</v>
      </c>
      <c r="E19" s="11" t="s">
        <v>89</v>
      </c>
      <c r="F19" s="10" t="s">
        <v>23</v>
      </c>
      <c r="G19" s="12"/>
      <c r="H19" s="12"/>
      <c r="I19" s="12"/>
      <c r="J19" s="12">
        <v>48</v>
      </c>
      <c r="K19" s="13">
        <v>51</v>
      </c>
      <c r="L19" s="13">
        <v>50</v>
      </c>
      <c r="M19" s="13">
        <v>54</v>
      </c>
      <c r="N19" s="14">
        <v>0.83333333333333337</v>
      </c>
      <c r="O19" s="14">
        <v>0.9</v>
      </c>
    </row>
    <row r="20" spans="1:15">
      <c r="A20" s="10" t="s">
        <v>90</v>
      </c>
      <c r="B20" s="10" t="s">
        <v>91</v>
      </c>
      <c r="C20" s="10" t="s">
        <v>92</v>
      </c>
      <c r="D20" s="10" t="s">
        <v>93</v>
      </c>
      <c r="E20" s="11" t="s">
        <v>94</v>
      </c>
      <c r="F20" s="9" t="s">
        <v>95</v>
      </c>
      <c r="G20" s="12"/>
      <c r="H20" s="12"/>
      <c r="I20" s="12"/>
      <c r="J20" s="13">
        <v>46</v>
      </c>
      <c r="K20" s="13">
        <v>49</v>
      </c>
      <c r="L20" s="13">
        <v>48</v>
      </c>
      <c r="M20" s="13">
        <v>51</v>
      </c>
      <c r="N20" s="14">
        <v>0.8</v>
      </c>
      <c r="O20" s="14">
        <v>0.85</v>
      </c>
    </row>
    <row r="21" spans="1:15">
      <c r="A21" s="9" t="s">
        <v>96</v>
      </c>
      <c r="B21" s="9" t="s">
        <v>97</v>
      </c>
      <c r="C21" s="9" t="s">
        <v>20</v>
      </c>
      <c r="D21" s="9" t="s">
        <v>98</v>
      </c>
      <c r="E21" s="11" t="s">
        <v>99</v>
      </c>
      <c r="F21" s="9" t="s">
        <v>95</v>
      </c>
      <c r="G21" s="12"/>
      <c r="H21" s="12"/>
      <c r="I21" s="12"/>
      <c r="J21" s="13">
        <v>46</v>
      </c>
      <c r="K21" s="13">
        <v>49</v>
      </c>
      <c r="L21" s="13">
        <v>48</v>
      </c>
      <c r="M21" s="13">
        <v>51</v>
      </c>
      <c r="N21" s="14">
        <v>0.8</v>
      </c>
      <c r="O21" s="14">
        <v>0.85</v>
      </c>
    </row>
    <row r="22" spans="1:15">
      <c r="A22" s="10" t="s">
        <v>100</v>
      </c>
      <c r="B22" s="10" t="s">
        <v>101</v>
      </c>
      <c r="C22" s="10" t="s">
        <v>92</v>
      </c>
      <c r="D22" s="10" t="s">
        <v>102</v>
      </c>
      <c r="E22" s="11" t="s">
        <v>103</v>
      </c>
      <c r="F22" s="9" t="s">
        <v>95</v>
      </c>
      <c r="G22" s="12"/>
      <c r="H22" s="12"/>
      <c r="I22" s="12"/>
      <c r="J22" s="13">
        <v>46</v>
      </c>
      <c r="K22" s="13">
        <v>49</v>
      </c>
      <c r="L22" s="13">
        <v>48</v>
      </c>
      <c r="M22" s="13">
        <v>51</v>
      </c>
      <c r="N22" s="14">
        <v>0.8</v>
      </c>
      <c r="O22" s="14">
        <v>0.85</v>
      </c>
    </row>
    <row r="23" spans="1:15">
      <c r="A23" s="9" t="s">
        <v>104</v>
      </c>
      <c r="B23" s="9" t="s">
        <v>105</v>
      </c>
      <c r="C23" s="9" t="s">
        <v>20</v>
      </c>
      <c r="D23" s="9" t="s">
        <v>106</v>
      </c>
      <c r="E23" s="11" t="s">
        <v>107</v>
      </c>
      <c r="F23" s="9" t="s">
        <v>95</v>
      </c>
      <c r="G23" s="12"/>
      <c r="H23" s="12"/>
      <c r="I23" s="12"/>
      <c r="J23" s="13">
        <v>46</v>
      </c>
      <c r="K23" s="13">
        <v>49</v>
      </c>
      <c r="L23" s="13">
        <v>48</v>
      </c>
      <c r="M23" s="13">
        <v>51</v>
      </c>
      <c r="N23" s="14">
        <v>0.8</v>
      </c>
      <c r="O23" s="14">
        <v>0.85</v>
      </c>
    </row>
    <row r="24" spans="1:15">
      <c r="A24" s="10" t="s">
        <v>108</v>
      </c>
      <c r="B24" s="10" t="s">
        <v>109</v>
      </c>
      <c r="C24" s="10" t="s">
        <v>92</v>
      </c>
      <c r="D24" s="10" t="s">
        <v>110</v>
      </c>
      <c r="E24" s="11" t="s">
        <v>111</v>
      </c>
      <c r="F24" s="9" t="s">
        <v>95</v>
      </c>
      <c r="G24" s="12"/>
      <c r="H24" s="12"/>
      <c r="I24" s="12"/>
      <c r="J24" s="13">
        <v>46</v>
      </c>
      <c r="K24" s="13">
        <v>49</v>
      </c>
      <c r="L24" s="13">
        <v>48</v>
      </c>
      <c r="M24" s="13">
        <v>51</v>
      </c>
      <c r="N24" s="14">
        <v>0.8</v>
      </c>
      <c r="O24" s="14">
        <v>0.85</v>
      </c>
    </row>
    <row r="25" spans="1:15">
      <c r="A25" s="9" t="s">
        <v>112</v>
      </c>
      <c r="B25" s="9" t="s">
        <v>113</v>
      </c>
      <c r="C25" s="9" t="s">
        <v>20</v>
      </c>
      <c r="D25" s="9" t="s">
        <v>114</v>
      </c>
      <c r="E25" s="11" t="s">
        <v>115</v>
      </c>
      <c r="F25" s="9" t="s">
        <v>95</v>
      </c>
      <c r="G25" s="12"/>
      <c r="H25" s="12"/>
      <c r="I25" s="12"/>
      <c r="J25" s="13">
        <v>46</v>
      </c>
      <c r="K25" s="13">
        <v>49</v>
      </c>
      <c r="L25" s="13">
        <v>48</v>
      </c>
      <c r="M25" s="13">
        <v>51</v>
      </c>
      <c r="N25" s="14">
        <v>0.8</v>
      </c>
      <c r="O25" s="14">
        <v>0.85</v>
      </c>
    </row>
    <row r="26" spans="1:15">
      <c r="A26" s="9" t="s">
        <v>116</v>
      </c>
      <c r="B26" s="9" t="s">
        <v>117</v>
      </c>
      <c r="C26" s="9" t="s">
        <v>20</v>
      </c>
      <c r="D26" s="9" t="s">
        <v>118</v>
      </c>
      <c r="E26" s="11" t="s">
        <v>119</v>
      </c>
      <c r="F26" s="9" t="s">
        <v>95</v>
      </c>
      <c r="G26" s="12"/>
      <c r="H26" s="12"/>
      <c r="I26" s="12"/>
      <c r="J26" s="13">
        <v>46</v>
      </c>
      <c r="K26" s="13">
        <v>49</v>
      </c>
      <c r="L26" s="13">
        <v>48</v>
      </c>
      <c r="M26" s="13">
        <v>51</v>
      </c>
      <c r="N26" s="14">
        <v>0.8</v>
      </c>
      <c r="O26" s="14">
        <v>0.85</v>
      </c>
    </row>
    <row r="27" spans="1:15">
      <c r="A27" s="10" t="s">
        <v>120</v>
      </c>
      <c r="B27" s="10" t="s">
        <v>121</v>
      </c>
      <c r="C27" s="10" t="s">
        <v>20</v>
      </c>
      <c r="D27" s="10" t="s">
        <v>122</v>
      </c>
      <c r="E27" s="11" t="s">
        <v>123</v>
      </c>
      <c r="F27" s="9" t="s">
        <v>95</v>
      </c>
      <c r="G27" s="12"/>
      <c r="H27" s="12"/>
      <c r="I27" s="12"/>
      <c r="J27" s="13">
        <v>48</v>
      </c>
      <c r="K27" s="13">
        <v>51</v>
      </c>
      <c r="L27" s="13">
        <v>50</v>
      </c>
      <c r="M27" s="13">
        <v>54</v>
      </c>
      <c r="N27" s="14">
        <v>0.83333333333333337</v>
      </c>
      <c r="O27" s="14">
        <v>0.9</v>
      </c>
    </row>
    <row r="28" spans="1:15">
      <c r="A28" s="10" t="s">
        <v>124</v>
      </c>
      <c r="B28" s="10" t="s">
        <v>125</v>
      </c>
      <c r="C28" s="10" t="s">
        <v>92</v>
      </c>
      <c r="D28" s="10" t="s">
        <v>126</v>
      </c>
      <c r="E28" s="11" t="s">
        <v>127</v>
      </c>
      <c r="F28" s="9" t="s">
        <v>95</v>
      </c>
      <c r="G28" s="12"/>
      <c r="H28" s="12"/>
      <c r="I28" s="12"/>
      <c r="J28" s="13">
        <v>46</v>
      </c>
      <c r="K28" s="13">
        <v>49</v>
      </c>
      <c r="L28" s="13">
        <v>48</v>
      </c>
      <c r="M28" s="13">
        <v>51</v>
      </c>
      <c r="N28" s="14">
        <v>0.8</v>
      </c>
      <c r="O28" s="14">
        <v>0.85</v>
      </c>
    </row>
    <row r="29" spans="1:15">
      <c r="A29" s="9" t="s">
        <v>128</v>
      </c>
      <c r="B29" s="9" t="s">
        <v>129</v>
      </c>
      <c r="C29" s="9" t="s">
        <v>20</v>
      </c>
      <c r="D29" s="9" t="s">
        <v>130</v>
      </c>
      <c r="E29" s="11" t="s">
        <v>131</v>
      </c>
      <c r="F29" s="9" t="s">
        <v>95</v>
      </c>
      <c r="G29" s="12"/>
      <c r="H29" s="12"/>
      <c r="I29" s="12"/>
      <c r="J29" s="13">
        <v>46</v>
      </c>
      <c r="K29" s="13">
        <v>49</v>
      </c>
      <c r="L29" s="13">
        <v>48</v>
      </c>
      <c r="M29" s="13">
        <v>51</v>
      </c>
      <c r="N29" s="14">
        <v>0.8</v>
      </c>
      <c r="O29" s="14">
        <v>0.85</v>
      </c>
    </row>
    <row r="30" spans="1:15">
      <c r="A30" s="9" t="s">
        <v>132</v>
      </c>
      <c r="B30" s="9" t="s">
        <v>133</v>
      </c>
      <c r="C30" s="9" t="s">
        <v>20</v>
      </c>
      <c r="D30" s="9" t="s">
        <v>134</v>
      </c>
      <c r="E30" s="11" t="s">
        <v>135</v>
      </c>
      <c r="F30" s="9" t="s">
        <v>95</v>
      </c>
      <c r="G30" s="12"/>
      <c r="H30" s="12"/>
      <c r="I30" s="12"/>
      <c r="J30" s="13">
        <v>46</v>
      </c>
      <c r="K30" s="13">
        <v>49</v>
      </c>
      <c r="L30" s="13">
        <v>48</v>
      </c>
      <c r="M30" s="13">
        <v>51</v>
      </c>
      <c r="N30" s="14">
        <v>0.8</v>
      </c>
      <c r="O30" s="14">
        <v>0.85</v>
      </c>
    </row>
    <row r="31" spans="1:15">
      <c r="A31" s="9" t="s">
        <v>136</v>
      </c>
      <c r="B31" s="9" t="s">
        <v>137</v>
      </c>
      <c r="C31" s="9" t="s">
        <v>20</v>
      </c>
      <c r="D31" s="9" t="s">
        <v>138</v>
      </c>
      <c r="E31" s="11" t="s">
        <v>139</v>
      </c>
      <c r="F31" s="9" t="s">
        <v>95</v>
      </c>
      <c r="G31" s="12"/>
      <c r="H31" s="12"/>
      <c r="I31" s="12"/>
      <c r="J31" s="13">
        <v>46</v>
      </c>
      <c r="K31" s="13">
        <v>49</v>
      </c>
      <c r="L31" s="13">
        <v>48</v>
      </c>
      <c r="M31" s="13">
        <v>51</v>
      </c>
      <c r="N31" s="14">
        <v>0.8</v>
      </c>
      <c r="O31" s="14">
        <v>0.85</v>
      </c>
    </row>
    <row r="32" spans="1:15">
      <c r="A32" s="9" t="s">
        <v>140</v>
      </c>
      <c r="B32" s="10" t="s">
        <v>141</v>
      </c>
      <c r="C32" s="10" t="s">
        <v>20</v>
      </c>
      <c r="D32" s="10" t="s">
        <v>142</v>
      </c>
      <c r="E32" s="11" t="s">
        <v>143</v>
      </c>
      <c r="F32" s="9" t="s">
        <v>95</v>
      </c>
      <c r="G32" s="12"/>
      <c r="H32" s="12"/>
      <c r="I32" s="12"/>
      <c r="J32" s="13">
        <v>48</v>
      </c>
      <c r="K32" s="13">
        <v>51</v>
      </c>
      <c r="L32" s="13">
        <v>50</v>
      </c>
      <c r="M32" s="13">
        <v>54</v>
      </c>
      <c r="N32" s="14">
        <v>0.83333333333333337</v>
      </c>
      <c r="O32" s="14">
        <v>0.9</v>
      </c>
    </row>
    <row r="33" spans="1:15">
      <c r="A33" s="9" t="s">
        <v>144</v>
      </c>
      <c r="B33" s="9" t="s">
        <v>145</v>
      </c>
      <c r="C33" s="9" t="s">
        <v>20</v>
      </c>
      <c r="D33" s="9" t="s">
        <v>146</v>
      </c>
      <c r="E33" s="11" t="s">
        <v>147</v>
      </c>
      <c r="F33" s="9" t="s">
        <v>95</v>
      </c>
      <c r="G33" s="12"/>
      <c r="H33" s="12"/>
      <c r="I33" s="12"/>
      <c r="J33" s="13">
        <v>46</v>
      </c>
      <c r="K33" s="13">
        <v>49</v>
      </c>
      <c r="L33" s="13">
        <v>48</v>
      </c>
      <c r="M33" s="13">
        <v>51</v>
      </c>
      <c r="N33" s="14">
        <v>0.8</v>
      </c>
      <c r="O33" s="14">
        <v>0.85</v>
      </c>
    </row>
    <row r="34" spans="1:15">
      <c r="A34" s="10" t="s">
        <v>148</v>
      </c>
      <c r="B34" s="10" t="s">
        <v>149</v>
      </c>
      <c r="C34" s="10" t="s">
        <v>92</v>
      </c>
      <c r="D34" s="10" t="s">
        <v>126</v>
      </c>
      <c r="E34" s="11" t="s">
        <v>127</v>
      </c>
      <c r="F34" s="9" t="s">
        <v>95</v>
      </c>
      <c r="G34" s="12"/>
      <c r="H34" s="12"/>
      <c r="I34" s="12"/>
      <c r="J34" s="13">
        <v>46</v>
      </c>
      <c r="K34" s="13">
        <v>49</v>
      </c>
      <c r="L34" s="13">
        <v>48</v>
      </c>
      <c r="M34" s="13">
        <v>51</v>
      </c>
      <c r="N34" s="14">
        <v>0.8</v>
      </c>
      <c r="O34" s="14">
        <v>0.85</v>
      </c>
    </row>
    <row r="35" spans="1:15">
      <c r="A35" s="9" t="s">
        <v>150</v>
      </c>
      <c r="B35" s="10" t="s">
        <v>151</v>
      </c>
      <c r="C35" s="10" t="s">
        <v>20</v>
      </c>
      <c r="D35" s="10" t="s">
        <v>152</v>
      </c>
      <c r="E35" s="11" t="s">
        <v>153</v>
      </c>
      <c r="F35" s="9" t="s">
        <v>95</v>
      </c>
      <c r="G35" s="12"/>
      <c r="H35" s="12"/>
      <c r="I35" s="12"/>
      <c r="J35" s="13">
        <v>46</v>
      </c>
      <c r="K35" s="13">
        <v>49</v>
      </c>
      <c r="L35" s="13">
        <v>48</v>
      </c>
      <c r="M35" s="13">
        <v>51</v>
      </c>
      <c r="N35" s="14">
        <v>0.8</v>
      </c>
      <c r="O35" s="14">
        <v>0.85</v>
      </c>
    </row>
    <row r="36" spans="1:15">
      <c r="A36" s="10" t="s">
        <v>154</v>
      </c>
      <c r="B36" s="9" t="s">
        <v>155</v>
      </c>
      <c r="C36" s="10" t="s">
        <v>92</v>
      </c>
      <c r="D36" s="9" t="s">
        <v>156</v>
      </c>
      <c r="E36" s="11" t="s">
        <v>157</v>
      </c>
      <c r="F36" s="9" t="s">
        <v>95</v>
      </c>
      <c r="G36" s="12"/>
      <c r="H36" s="12"/>
      <c r="I36" s="12"/>
      <c r="J36" s="13">
        <v>38</v>
      </c>
      <c r="K36" s="13">
        <v>41</v>
      </c>
      <c r="L36" s="13">
        <v>40</v>
      </c>
      <c r="M36" s="13">
        <v>43</v>
      </c>
      <c r="N36" s="14">
        <v>0.66666666666666663</v>
      </c>
      <c r="O36" s="14">
        <v>0.71666666666666667</v>
      </c>
    </row>
    <row r="37" spans="1:15">
      <c r="A37" s="10" t="s">
        <v>158</v>
      </c>
      <c r="B37" s="9" t="s">
        <v>159</v>
      </c>
      <c r="C37" s="10" t="s">
        <v>92</v>
      </c>
      <c r="D37" s="9" t="s">
        <v>160</v>
      </c>
      <c r="E37" s="11" t="s">
        <v>161</v>
      </c>
      <c r="F37" s="9" t="s">
        <v>95</v>
      </c>
      <c r="G37" s="12"/>
      <c r="H37" s="12"/>
      <c r="I37" s="12"/>
      <c r="J37" s="13">
        <v>46</v>
      </c>
      <c r="K37" s="13">
        <v>49</v>
      </c>
      <c r="L37" s="13">
        <v>48</v>
      </c>
      <c r="M37" s="13">
        <v>51</v>
      </c>
      <c r="N37" s="14">
        <v>0.8</v>
      </c>
      <c r="O37" s="14">
        <v>0.85</v>
      </c>
    </row>
    <row r="38" spans="1:15">
      <c r="A38" s="9" t="s">
        <v>162</v>
      </c>
      <c r="B38" s="10" t="s">
        <v>163</v>
      </c>
      <c r="C38" s="10" t="s">
        <v>164</v>
      </c>
      <c r="D38" s="10" t="s">
        <v>165</v>
      </c>
      <c r="E38" s="11" t="s">
        <v>166</v>
      </c>
      <c r="F38" s="9" t="s">
        <v>95</v>
      </c>
      <c r="G38" s="12"/>
      <c r="H38" s="12"/>
      <c r="I38" s="12"/>
      <c r="J38" s="13" t="e">
        <v>#N/A</v>
      </c>
      <c r="K38" s="13" t="e">
        <v>#N/A</v>
      </c>
      <c r="L38" s="13" t="e">
        <v>#N/A</v>
      </c>
      <c r="M38" s="13" t="e">
        <v>#N/A</v>
      </c>
      <c r="N38" s="14" t="e">
        <v>#N/A</v>
      </c>
      <c r="O38" s="14" t="e">
        <v>#N/A</v>
      </c>
    </row>
    <row r="39" spans="1:15">
      <c r="A39" s="9" t="s">
        <v>167</v>
      </c>
      <c r="B39" s="9" t="s">
        <v>168</v>
      </c>
      <c r="C39" s="9" t="s">
        <v>20</v>
      </c>
      <c r="D39" s="9" t="s">
        <v>169</v>
      </c>
      <c r="E39" s="11" t="s">
        <v>170</v>
      </c>
      <c r="F39" s="9" t="s">
        <v>95</v>
      </c>
      <c r="G39" s="12"/>
      <c r="H39" s="12"/>
      <c r="I39" s="12"/>
      <c r="J39" s="13">
        <v>46</v>
      </c>
      <c r="K39" s="13">
        <v>49</v>
      </c>
      <c r="L39" s="13">
        <v>48</v>
      </c>
      <c r="M39" s="13">
        <v>51</v>
      </c>
      <c r="N39" s="14">
        <v>0.8</v>
      </c>
      <c r="O39" s="14">
        <v>0.85</v>
      </c>
    </row>
    <row r="40" spans="1:15">
      <c r="A40" s="9" t="s">
        <v>171</v>
      </c>
      <c r="B40" s="9" t="s">
        <v>172</v>
      </c>
      <c r="C40" s="9" t="s">
        <v>20</v>
      </c>
      <c r="D40" s="9" t="s">
        <v>173</v>
      </c>
      <c r="E40" s="11" t="s">
        <v>174</v>
      </c>
      <c r="F40" s="9" t="s">
        <v>95</v>
      </c>
      <c r="G40" s="12"/>
      <c r="H40" s="12"/>
      <c r="I40" s="12"/>
      <c r="J40" s="13">
        <v>46</v>
      </c>
      <c r="K40" s="13">
        <v>49</v>
      </c>
      <c r="L40" s="13">
        <v>48</v>
      </c>
      <c r="M40" s="13">
        <v>51</v>
      </c>
      <c r="N40" s="14">
        <v>0.8</v>
      </c>
      <c r="O40" s="14">
        <v>0.85</v>
      </c>
    </row>
    <row r="41" spans="1:15">
      <c r="A41" s="9" t="s">
        <v>175</v>
      </c>
      <c r="B41" s="9" t="s">
        <v>176</v>
      </c>
      <c r="C41" s="9" t="s">
        <v>92</v>
      </c>
      <c r="D41" s="9" t="s">
        <v>177</v>
      </c>
      <c r="E41" s="11" t="s">
        <v>178</v>
      </c>
      <c r="F41" s="9" t="s">
        <v>95</v>
      </c>
      <c r="G41" s="12"/>
      <c r="H41" s="12"/>
      <c r="I41" s="12"/>
      <c r="J41" s="13" t="e">
        <v>#N/A</v>
      </c>
      <c r="K41" s="13" t="e">
        <v>#N/A</v>
      </c>
      <c r="L41" s="13" t="e">
        <v>#N/A</v>
      </c>
      <c r="M41" s="13" t="e">
        <v>#N/A</v>
      </c>
      <c r="N41" s="14" t="e">
        <v>#N/A</v>
      </c>
      <c r="O41" s="14" t="e">
        <v>#N/A</v>
      </c>
    </row>
    <row r="42" spans="1:15">
      <c r="A42" s="9" t="s">
        <v>179</v>
      </c>
      <c r="B42" s="9" t="s">
        <v>180</v>
      </c>
      <c r="C42" s="9" t="s">
        <v>20</v>
      </c>
      <c r="D42" s="9" t="s">
        <v>181</v>
      </c>
      <c r="E42" s="11" t="s">
        <v>182</v>
      </c>
      <c r="F42" s="9" t="s">
        <v>95</v>
      </c>
      <c r="G42" s="12"/>
      <c r="H42" s="12"/>
      <c r="I42" s="12"/>
      <c r="J42" s="13">
        <v>46</v>
      </c>
      <c r="K42" s="13">
        <v>49</v>
      </c>
      <c r="L42" s="13">
        <v>48</v>
      </c>
      <c r="M42" s="13">
        <v>51</v>
      </c>
      <c r="N42" s="14">
        <v>0.8</v>
      </c>
      <c r="O42" s="14">
        <v>0.85</v>
      </c>
    </row>
    <row r="43" spans="1:15">
      <c r="A43" s="9" t="s">
        <v>183</v>
      </c>
      <c r="B43" s="9" t="s">
        <v>184</v>
      </c>
      <c r="C43" s="9" t="s">
        <v>20</v>
      </c>
      <c r="D43" s="9" t="s">
        <v>185</v>
      </c>
      <c r="E43" s="11" t="s">
        <v>186</v>
      </c>
      <c r="F43" s="9" t="s">
        <v>95</v>
      </c>
      <c r="G43" s="12"/>
      <c r="H43" s="12"/>
      <c r="I43" s="12"/>
      <c r="J43" s="13">
        <v>46</v>
      </c>
      <c r="K43" s="13">
        <v>49</v>
      </c>
      <c r="L43" s="13">
        <v>48</v>
      </c>
      <c r="M43" s="13">
        <v>51</v>
      </c>
      <c r="N43" s="14">
        <v>0.8</v>
      </c>
      <c r="O43" s="14">
        <v>0.85</v>
      </c>
    </row>
    <row r="44" spans="1:15">
      <c r="A44" s="9" t="s">
        <v>187</v>
      </c>
      <c r="B44" s="9" t="s">
        <v>188</v>
      </c>
      <c r="C44" s="9" t="s">
        <v>20</v>
      </c>
      <c r="D44" s="9" t="s">
        <v>189</v>
      </c>
      <c r="E44" s="11" t="s">
        <v>190</v>
      </c>
      <c r="F44" s="9" t="s">
        <v>191</v>
      </c>
      <c r="G44" s="12"/>
      <c r="H44" s="12"/>
      <c r="I44" s="12"/>
      <c r="J44" s="13">
        <v>48</v>
      </c>
      <c r="K44" s="13">
        <v>51</v>
      </c>
      <c r="L44" s="13">
        <v>50</v>
      </c>
      <c r="M44" s="13">
        <v>54</v>
      </c>
      <c r="N44" s="14">
        <v>0.83333333333333337</v>
      </c>
      <c r="O44" s="14">
        <v>0.9</v>
      </c>
    </row>
    <row r="45" spans="1:15">
      <c r="A45" s="9" t="s">
        <v>192</v>
      </c>
      <c r="B45" s="9" t="s">
        <v>193</v>
      </c>
      <c r="C45" s="9" t="s">
        <v>20</v>
      </c>
      <c r="D45" s="9" t="s">
        <v>194</v>
      </c>
      <c r="E45" s="11" t="s">
        <v>195</v>
      </c>
      <c r="F45" s="9" t="s">
        <v>191</v>
      </c>
      <c r="G45" s="12"/>
      <c r="H45" s="12"/>
      <c r="I45" s="12"/>
      <c r="J45" s="13">
        <v>48</v>
      </c>
      <c r="K45" s="13">
        <v>51</v>
      </c>
      <c r="L45" s="13">
        <v>50</v>
      </c>
      <c r="M45" s="13">
        <v>54</v>
      </c>
      <c r="N45" s="14">
        <v>0.83333333333333337</v>
      </c>
      <c r="O45" s="14">
        <v>0.9</v>
      </c>
    </row>
    <row r="46" spans="1:15">
      <c r="A46" s="9" t="s">
        <v>196</v>
      </c>
      <c r="B46" s="9" t="s">
        <v>197</v>
      </c>
      <c r="C46" s="9" t="s">
        <v>164</v>
      </c>
      <c r="D46" s="9" t="s">
        <v>198</v>
      </c>
      <c r="E46" s="11" t="s">
        <v>199</v>
      </c>
      <c r="F46" s="9" t="s">
        <v>191</v>
      </c>
      <c r="G46" s="12"/>
      <c r="H46" s="12"/>
      <c r="I46" s="12"/>
      <c r="J46" s="13">
        <v>48</v>
      </c>
      <c r="K46" s="13">
        <v>51</v>
      </c>
      <c r="L46" s="13">
        <v>50</v>
      </c>
      <c r="M46" s="13">
        <v>54</v>
      </c>
      <c r="N46" s="14">
        <v>0.83333333333333337</v>
      </c>
      <c r="O46" s="14">
        <v>0.9</v>
      </c>
    </row>
    <row r="47" spans="1:15">
      <c r="A47" s="9" t="s">
        <v>200</v>
      </c>
      <c r="B47" s="9" t="s">
        <v>201</v>
      </c>
      <c r="C47" s="9" t="s">
        <v>20</v>
      </c>
      <c r="D47" s="9" t="s">
        <v>202</v>
      </c>
      <c r="E47" s="11" t="s">
        <v>203</v>
      </c>
      <c r="F47" s="9" t="s">
        <v>191</v>
      </c>
      <c r="G47" s="12"/>
      <c r="H47" s="12"/>
      <c r="I47" s="12"/>
      <c r="J47" s="13">
        <v>48</v>
      </c>
      <c r="K47" s="13">
        <v>51</v>
      </c>
      <c r="L47" s="13">
        <v>50</v>
      </c>
      <c r="M47" s="13">
        <v>54</v>
      </c>
      <c r="N47" s="14">
        <v>0.83333333333333337</v>
      </c>
      <c r="O47" s="14">
        <v>0.9</v>
      </c>
    </row>
    <row r="48" spans="1:15">
      <c r="A48" s="9" t="s">
        <v>204</v>
      </c>
      <c r="B48" s="9" t="s">
        <v>205</v>
      </c>
      <c r="C48" s="9" t="s">
        <v>20</v>
      </c>
      <c r="D48" s="9" t="s">
        <v>206</v>
      </c>
      <c r="E48" s="11" t="s">
        <v>207</v>
      </c>
      <c r="F48" s="9" t="s">
        <v>191</v>
      </c>
      <c r="G48" s="12"/>
      <c r="H48" s="12"/>
      <c r="I48" s="12"/>
      <c r="J48" s="13">
        <v>48</v>
      </c>
      <c r="K48" s="13">
        <v>51</v>
      </c>
      <c r="L48" s="13">
        <v>50</v>
      </c>
      <c r="M48" s="13">
        <v>54</v>
      </c>
      <c r="N48" s="14">
        <v>0.83333333333333337</v>
      </c>
      <c r="O48" s="14">
        <v>0.9</v>
      </c>
    </row>
    <row r="49" spans="1:15">
      <c r="A49" s="9" t="s">
        <v>208</v>
      </c>
      <c r="B49" s="9" t="s">
        <v>209</v>
      </c>
      <c r="C49" s="9" t="s">
        <v>20</v>
      </c>
      <c r="D49" s="9" t="s">
        <v>210</v>
      </c>
      <c r="E49" s="11" t="s">
        <v>211</v>
      </c>
      <c r="F49" s="9" t="s">
        <v>191</v>
      </c>
      <c r="G49" s="12"/>
      <c r="H49" s="12"/>
      <c r="I49" s="12"/>
      <c r="J49" s="13">
        <v>48</v>
      </c>
      <c r="K49" s="13">
        <v>51</v>
      </c>
      <c r="L49" s="13">
        <v>50</v>
      </c>
      <c r="M49" s="13">
        <v>54</v>
      </c>
      <c r="N49" s="14">
        <v>0.83333333333333337</v>
      </c>
      <c r="O49" s="14">
        <v>0.9</v>
      </c>
    </row>
    <row r="50" spans="1:15">
      <c r="A50" s="9" t="s">
        <v>212</v>
      </c>
      <c r="B50" s="9" t="s">
        <v>213</v>
      </c>
      <c r="C50" s="9" t="s">
        <v>20</v>
      </c>
      <c r="D50" s="9" t="s">
        <v>214</v>
      </c>
      <c r="E50" s="11" t="s">
        <v>215</v>
      </c>
      <c r="F50" s="9" t="s">
        <v>191</v>
      </c>
      <c r="G50" s="12"/>
      <c r="H50" s="12"/>
      <c r="I50" s="12"/>
      <c r="J50" s="13">
        <v>48</v>
      </c>
      <c r="K50" s="13">
        <v>51</v>
      </c>
      <c r="L50" s="13">
        <v>50</v>
      </c>
      <c r="M50" s="13">
        <v>54</v>
      </c>
      <c r="N50" s="14">
        <v>0.83333333333333337</v>
      </c>
      <c r="O50" s="14">
        <v>0.9</v>
      </c>
    </row>
    <row r="51" spans="1:15" ht="15.6">
      <c r="A51" s="9" t="s">
        <v>216</v>
      </c>
      <c r="B51" s="15" t="s">
        <v>217</v>
      </c>
      <c r="C51" s="9" t="s">
        <v>20</v>
      </c>
      <c r="D51" s="9" t="s">
        <v>218</v>
      </c>
      <c r="E51" s="11" t="s">
        <v>219</v>
      </c>
      <c r="F51" s="9" t="s">
        <v>191</v>
      </c>
      <c r="G51" s="12"/>
      <c r="H51" s="12"/>
      <c r="I51" s="12"/>
      <c r="J51" s="13" t="e">
        <v>#N/A</v>
      </c>
      <c r="K51" s="13" t="e">
        <v>#N/A</v>
      </c>
      <c r="L51" s="13" t="e">
        <v>#N/A</v>
      </c>
      <c r="M51" s="13" t="e">
        <v>#N/A</v>
      </c>
      <c r="N51" s="14" t="e">
        <v>#N/A</v>
      </c>
      <c r="O51" s="14" t="e">
        <v>#N/A</v>
      </c>
    </row>
    <row r="52" spans="1:15">
      <c r="A52" s="9" t="s">
        <v>220</v>
      </c>
      <c r="B52" s="9" t="s">
        <v>221</v>
      </c>
      <c r="C52" s="9" t="s">
        <v>20</v>
      </c>
      <c r="D52" s="9" t="s">
        <v>222</v>
      </c>
      <c r="E52" s="11" t="s">
        <v>223</v>
      </c>
      <c r="F52" s="9" t="s">
        <v>191</v>
      </c>
      <c r="G52" s="12"/>
      <c r="H52" s="12"/>
      <c r="I52" s="12"/>
      <c r="J52" s="13">
        <v>48</v>
      </c>
      <c r="K52" s="13">
        <v>51</v>
      </c>
      <c r="L52" s="13">
        <v>50</v>
      </c>
      <c r="M52" s="13">
        <v>54</v>
      </c>
      <c r="N52" s="14">
        <v>0.83333333333333337</v>
      </c>
      <c r="O52" s="14">
        <v>0.9</v>
      </c>
    </row>
    <row r="53" spans="1:15">
      <c r="A53" s="9" t="s">
        <v>224</v>
      </c>
      <c r="B53" s="10" t="s">
        <v>225</v>
      </c>
      <c r="C53" s="10" t="s">
        <v>20</v>
      </c>
      <c r="D53" s="10" t="s">
        <v>226</v>
      </c>
      <c r="E53" s="11" t="s">
        <v>227</v>
      </c>
      <c r="F53" s="9" t="s">
        <v>191</v>
      </c>
      <c r="G53" s="12"/>
      <c r="H53" s="12"/>
      <c r="I53" s="12"/>
      <c r="J53" s="13">
        <v>48</v>
      </c>
      <c r="K53" s="13">
        <v>51</v>
      </c>
      <c r="L53" s="13">
        <v>50</v>
      </c>
      <c r="M53" s="13">
        <v>54</v>
      </c>
      <c r="N53" s="14">
        <v>0.83333333333333337</v>
      </c>
      <c r="O53" s="14">
        <v>0.9</v>
      </c>
    </row>
    <row r="54" spans="1:15">
      <c r="A54" s="9" t="s">
        <v>228</v>
      </c>
      <c r="B54" s="9" t="s">
        <v>229</v>
      </c>
      <c r="C54" s="9" t="s">
        <v>164</v>
      </c>
      <c r="D54" s="9" t="s">
        <v>230</v>
      </c>
      <c r="E54" s="11" t="e">
        <v>#N/A</v>
      </c>
      <c r="F54" s="9" t="s">
        <v>191</v>
      </c>
      <c r="G54" s="12"/>
      <c r="H54" s="12"/>
      <c r="I54" s="12"/>
      <c r="J54" s="13" t="e">
        <v>#N/A</v>
      </c>
      <c r="K54" s="13" t="e">
        <v>#N/A</v>
      </c>
      <c r="L54" s="13" t="e">
        <v>#N/A</v>
      </c>
      <c r="M54" s="13" t="e">
        <v>#N/A</v>
      </c>
      <c r="N54" s="14" t="e">
        <v>#N/A</v>
      </c>
      <c r="O54" s="14" t="e">
        <v>#N/A</v>
      </c>
    </row>
    <row r="55" spans="1:15">
      <c r="A55" s="9" t="s">
        <v>231</v>
      </c>
      <c r="B55" s="9" t="s">
        <v>232</v>
      </c>
      <c r="C55" s="9" t="s">
        <v>20</v>
      </c>
      <c r="D55" s="9" t="s">
        <v>233</v>
      </c>
      <c r="E55" s="11" t="s">
        <v>234</v>
      </c>
      <c r="F55" s="9" t="s">
        <v>191</v>
      </c>
      <c r="G55" s="12"/>
      <c r="H55" s="12"/>
      <c r="I55" s="12"/>
      <c r="J55" s="13">
        <v>48</v>
      </c>
      <c r="K55" s="13">
        <v>51</v>
      </c>
      <c r="L55" s="13">
        <v>50</v>
      </c>
      <c r="M55" s="13">
        <v>54</v>
      </c>
      <c r="N55" s="14">
        <v>0.83333333333333337</v>
      </c>
      <c r="O55" s="14">
        <v>0.9</v>
      </c>
    </row>
    <row r="56" spans="1:15">
      <c r="A56" s="9" t="s">
        <v>235</v>
      </c>
      <c r="B56" s="9" t="s">
        <v>236</v>
      </c>
      <c r="C56" s="9" t="s">
        <v>20</v>
      </c>
      <c r="D56" s="9" t="s">
        <v>237</v>
      </c>
      <c r="E56" s="11" t="s">
        <v>238</v>
      </c>
      <c r="F56" s="9" t="s">
        <v>191</v>
      </c>
      <c r="G56" s="12"/>
      <c r="H56" s="12"/>
      <c r="I56" s="12"/>
      <c r="J56" s="13">
        <v>48</v>
      </c>
      <c r="K56" s="13">
        <v>51</v>
      </c>
      <c r="L56" s="13">
        <v>50</v>
      </c>
      <c r="M56" s="13">
        <v>54</v>
      </c>
      <c r="N56" s="14">
        <v>0.83333333333333337</v>
      </c>
      <c r="O56" s="14">
        <v>0.9</v>
      </c>
    </row>
    <row r="57" spans="1:15">
      <c r="A57" s="9" t="s">
        <v>239</v>
      </c>
      <c r="B57" s="9" t="s">
        <v>240</v>
      </c>
      <c r="C57" s="9" t="s">
        <v>92</v>
      </c>
      <c r="D57" s="9" t="s">
        <v>241</v>
      </c>
      <c r="E57" s="11" t="s">
        <v>242</v>
      </c>
      <c r="F57" s="9" t="s">
        <v>191</v>
      </c>
      <c r="G57" s="12"/>
      <c r="H57" s="12"/>
      <c r="I57" s="12"/>
      <c r="J57" s="13">
        <v>38</v>
      </c>
      <c r="K57" s="13">
        <v>41</v>
      </c>
      <c r="L57" s="13">
        <v>40</v>
      </c>
      <c r="M57" s="13">
        <v>43</v>
      </c>
      <c r="N57" s="14">
        <v>0.66666666666666663</v>
      </c>
      <c r="O57" s="14">
        <v>0.71666666666666667</v>
      </c>
    </row>
    <row r="58" spans="1:15">
      <c r="A58" s="9" t="s">
        <v>243</v>
      </c>
      <c r="B58" s="9" t="s">
        <v>244</v>
      </c>
      <c r="C58" s="9" t="s">
        <v>20</v>
      </c>
      <c r="D58" s="9" t="s">
        <v>245</v>
      </c>
      <c r="E58" s="11" t="s">
        <v>246</v>
      </c>
      <c r="F58" s="9" t="s">
        <v>191</v>
      </c>
      <c r="G58" s="12"/>
      <c r="H58" s="12"/>
      <c r="I58" s="12"/>
      <c r="J58" s="13">
        <v>48</v>
      </c>
      <c r="K58" s="13">
        <v>51</v>
      </c>
      <c r="L58" s="13">
        <v>50</v>
      </c>
      <c r="M58" s="13">
        <v>54</v>
      </c>
      <c r="N58" s="14">
        <v>0.83333333333333337</v>
      </c>
      <c r="O58" s="14">
        <v>0.9</v>
      </c>
    </row>
    <row r="59" spans="1:15">
      <c r="A59" s="9" t="s">
        <v>247</v>
      </c>
      <c r="B59" s="9" t="s">
        <v>248</v>
      </c>
      <c r="C59" s="9" t="s">
        <v>20</v>
      </c>
      <c r="D59" s="9" t="s">
        <v>249</v>
      </c>
      <c r="E59" s="11" t="s">
        <v>250</v>
      </c>
      <c r="F59" s="9" t="s">
        <v>191</v>
      </c>
      <c r="G59" s="12"/>
      <c r="H59" s="12"/>
      <c r="I59" s="12"/>
      <c r="J59" s="13">
        <v>48</v>
      </c>
      <c r="K59" s="13">
        <v>51</v>
      </c>
      <c r="L59" s="13">
        <v>50</v>
      </c>
      <c r="M59" s="13">
        <v>54</v>
      </c>
      <c r="N59" s="14">
        <v>0.83333333333333337</v>
      </c>
      <c r="O59" s="14">
        <v>0.9</v>
      </c>
    </row>
    <row r="60" spans="1:15">
      <c r="A60" s="9" t="s">
        <v>251</v>
      </c>
      <c r="B60" s="9" t="s">
        <v>252</v>
      </c>
      <c r="C60" s="9" t="s">
        <v>20</v>
      </c>
      <c r="D60" s="9" t="s">
        <v>253</v>
      </c>
      <c r="E60" s="11" t="s">
        <v>254</v>
      </c>
      <c r="F60" s="9" t="s">
        <v>191</v>
      </c>
      <c r="G60" s="12"/>
      <c r="H60" s="12"/>
      <c r="I60" s="12"/>
      <c r="J60" s="13">
        <v>48</v>
      </c>
      <c r="K60" s="13">
        <v>51</v>
      </c>
      <c r="L60" s="13">
        <v>50</v>
      </c>
      <c r="M60" s="13">
        <v>54</v>
      </c>
      <c r="N60" s="14">
        <v>0.83333333333333337</v>
      </c>
      <c r="O60" s="14">
        <v>0.9</v>
      </c>
    </row>
    <row r="61" spans="1:15">
      <c r="A61" s="9" t="s">
        <v>255</v>
      </c>
      <c r="B61" s="9" t="s">
        <v>256</v>
      </c>
      <c r="C61" s="9" t="s">
        <v>20</v>
      </c>
      <c r="D61" s="9" t="s">
        <v>257</v>
      </c>
      <c r="E61" s="11" t="s">
        <v>258</v>
      </c>
      <c r="F61" s="9" t="s">
        <v>191</v>
      </c>
      <c r="G61" s="12"/>
      <c r="H61" s="12"/>
      <c r="I61" s="12"/>
      <c r="J61" s="13">
        <v>48</v>
      </c>
      <c r="K61" s="13">
        <v>51</v>
      </c>
      <c r="L61" s="13">
        <v>50</v>
      </c>
      <c r="M61" s="13">
        <v>54</v>
      </c>
      <c r="N61" s="14">
        <v>0.83333333333333337</v>
      </c>
      <c r="O61" s="14">
        <v>0.9</v>
      </c>
    </row>
    <row r="62" spans="1:15">
      <c r="A62" s="9" t="s">
        <v>259</v>
      </c>
      <c r="B62" s="9" t="s">
        <v>260</v>
      </c>
      <c r="C62" s="9" t="s">
        <v>20</v>
      </c>
      <c r="D62" s="9" t="s">
        <v>261</v>
      </c>
      <c r="E62" s="11" t="s">
        <v>262</v>
      </c>
      <c r="F62" s="9" t="s">
        <v>191</v>
      </c>
      <c r="G62" s="12"/>
      <c r="H62" s="12"/>
      <c r="I62" s="12"/>
      <c r="J62" s="13">
        <v>48</v>
      </c>
      <c r="K62" s="13">
        <v>51</v>
      </c>
      <c r="L62" s="13">
        <v>50</v>
      </c>
      <c r="M62" s="13">
        <v>54</v>
      </c>
      <c r="N62" s="14">
        <v>0.83333333333333337</v>
      </c>
      <c r="O62" s="14">
        <v>0.9</v>
      </c>
    </row>
    <row r="63" spans="1:15">
      <c r="A63" s="9" t="s">
        <v>263</v>
      </c>
      <c r="B63" s="9" t="s">
        <v>264</v>
      </c>
      <c r="C63" s="9" t="s">
        <v>20</v>
      </c>
      <c r="D63" s="9" t="s">
        <v>265</v>
      </c>
      <c r="E63" s="11" t="s">
        <v>266</v>
      </c>
      <c r="F63" s="9" t="s">
        <v>191</v>
      </c>
      <c r="G63" s="12"/>
      <c r="H63" s="12"/>
      <c r="I63" s="12"/>
      <c r="J63" s="13">
        <v>48</v>
      </c>
      <c r="K63" s="13">
        <v>51</v>
      </c>
      <c r="L63" s="13">
        <v>50</v>
      </c>
      <c r="M63" s="13">
        <v>54</v>
      </c>
      <c r="N63" s="14">
        <v>0.83333333333333337</v>
      </c>
      <c r="O63" s="14">
        <v>0.9</v>
      </c>
    </row>
    <row r="64" spans="1:15">
      <c r="A64" s="9" t="s">
        <v>267</v>
      </c>
      <c r="B64" s="9" t="s">
        <v>268</v>
      </c>
      <c r="C64" s="9" t="s">
        <v>20</v>
      </c>
      <c r="D64" s="9" t="s">
        <v>269</v>
      </c>
      <c r="E64" s="11" t="s">
        <v>270</v>
      </c>
      <c r="F64" s="9" t="s">
        <v>191</v>
      </c>
      <c r="G64" s="12"/>
      <c r="H64" s="12"/>
      <c r="I64" s="12"/>
      <c r="J64" s="13">
        <v>69</v>
      </c>
      <c r="K64" s="13">
        <v>72</v>
      </c>
      <c r="L64" s="13">
        <v>72</v>
      </c>
      <c r="M64" s="13">
        <v>75</v>
      </c>
      <c r="N64" s="14">
        <v>1.2</v>
      </c>
      <c r="O64" s="14">
        <v>1.25</v>
      </c>
    </row>
    <row r="65" spans="1:15">
      <c r="A65" s="9" t="s">
        <v>271</v>
      </c>
      <c r="B65" s="9" t="s">
        <v>272</v>
      </c>
      <c r="C65" s="9" t="s">
        <v>20</v>
      </c>
      <c r="D65" s="9" t="s">
        <v>273</v>
      </c>
      <c r="E65" s="11" t="s">
        <v>274</v>
      </c>
      <c r="F65" s="9" t="s">
        <v>191</v>
      </c>
      <c r="G65" s="12"/>
      <c r="H65" s="12"/>
      <c r="I65" s="12"/>
      <c r="J65" s="13">
        <v>69</v>
      </c>
      <c r="K65" s="13">
        <v>72</v>
      </c>
      <c r="L65" s="13">
        <v>72</v>
      </c>
      <c r="M65" s="13">
        <v>75</v>
      </c>
      <c r="N65" s="14">
        <v>1.2</v>
      </c>
      <c r="O65" s="14">
        <v>1.25</v>
      </c>
    </row>
    <row r="66" spans="1:15">
      <c r="A66" s="9" t="s">
        <v>275</v>
      </c>
      <c r="B66" s="9" t="s">
        <v>276</v>
      </c>
      <c r="C66" s="9" t="s">
        <v>20</v>
      </c>
      <c r="D66" s="9" t="s">
        <v>277</v>
      </c>
      <c r="E66" s="11" t="s">
        <v>278</v>
      </c>
      <c r="F66" s="9" t="s">
        <v>191</v>
      </c>
      <c r="G66" s="12"/>
      <c r="H66" s="12"/>
      <c r="I66" s="12"/>
      <c r="J66" s="13">
        <v>69</v>
      </c>
      <c r="K66" s="13">
        <v>72</v>
      </c>
      <c r="L66" s="13">
        <v>72</v>
      </c>
      <c r="M66" s="13">
        <v>75</v>
      </c>
      <c r="N66" s="14">
        <v>1.2</v>
      </c>
      <c r="O66" s="14">
        <v>1.25</v>
      </c>
    </row>
    <row r="67" spans="1:15">
      <c r="A67" s="9" t="s">
        <v>279</v>
      </c>
      <c r="B67" s="9" t="s">
        <v>280</v>
      </c>
      <c r="C67" s="9" t="s">
        <v>20</v>
      </c>
      <c r="D67" s="9" t="s">
        <v>281</v>
      </c>
      <c r="E67" s="11" t="s">
        <v>282</v>
      </c>
      <c r="F67" s="9" t="s">
        <v>191</v>
      </c>
      <c r="G67" s="12"/>
      <c r="H67" s="12"/>
      <c r="I67" s="12"/>
      <c r="J67" s="13">
        <v>48</v>
      </c>
      <c r="K67" s="13">
        <v>51</v>
      </c>
      <c r="L67" s="13">
        <v>50</v>
      </c>
      <c r="M67" s="13">
        <v>54</v>
      </c>
      <c r="N67" s="14">
        <v>0.83333333333333337</v>
      </c>
      <c r="O67" s="14">
        <v>0.9</v>
      </c>
    </row>
    <row r="68" spans="1:15">
      <c r="A68" s="9" t="s">
        <v>283</v>
      </c>
      <c r="B68" s="10" t="s">
        <v>284</v>
      </c>
      <c r="C68" s="10" t="s">
        <v>20</v>
      </c>
      <c r="D68" s="10" t="s">
        <v>285</v>
      </c>
      <c r="E68" s="11" t="s">
        <v>286</v>
      </c>
      <c r="F68" s="9" t="s">
        <v>191</v>
      </c>
      <c r="G68" s="12"/>
      <c r="H68" s="12"/>
      <c r="I68" s="12"/>
      <c r="J68" s="13">
        <v>48</v>
      </c>
      <c r="K68" s="13">
        <v>51</v>
      </c>
      <c r="L68" s="13">
        <v>50</v>
      </c>
      <c r="M68" s="13">
        <v>54</v>
      </c>
      <c r="N68" s="14">
        <v>0.83333333333333337</v>
      </c>
      <c r="O68" s="14">
        <v>0.9</v>
      </c>
    </row>
    <row r="69" spans="1:15">
      <c r="A69" s="9" t="s">
        <v>287</v>
      </c>
      <c r="B69" s="9" t="s">
        <v>288</v>
      </c>
      <c r="C69" s="9" t="s">
        <v>20</v>
      </c>
      <c r="D69" s="9" t="s">
        <v>289</v>
      </c>
      <c r="E69" s="11" t="s">
        <v>290</v>
      </c>
      <c r="F69" s="9" t="s">
        <v>191</v>
      </c>
      <c r="G69" s="12"/>
      <c r="H69" s="12"/>
      <c r="I69" s="12"/>
      <c r="J69" s="13">
        <v>38</v>
      </c>
      <c r="K69" s="13">
        <v>41</v>
      </c>
      <c r="L69" s="13">
        <v>40</v>
      </c>
      <c r="M69" s="13">
        <v>43</v>
      </c>
      <c r="N69" s="14">
        <v>0.66666666666666663</v>
      </c>
      <c r="O69" s="14">
        <v>0.71666666666666667</v>
      </c>
    </row>
    <row r="70" spans="1:15">
      <c r="A70" s="9" t="s">
        <v>291</v>
      </c>
      <c r="B70" s="10" t="s">
        <v>292</v>
      </c>
      <c r="C70" s="10" t="s">
        <v>20</v>
      </c>
      <c r="D70" s="10" t="s">
        <v>293</v>
      </c>
      <c r="E70" s="11" t="s">
        <v>294</v>
      </c>
      <c r="F70" s="9" t="s">
        <v>191</v>
      </c>
      <c r="G70" s="12"/>
      <c r="H70" s="12"/>
      <c r="I70" s="12"/>
      <c r="J70" s="13">
        <v>69</v>
      </c>
      <c r="K70" s="13">
        <v>72</v>
      </c>
      <c r="L70" s="13">
        <v>72</v>
      </c>
      <c r="M70" s="13">
        <v>75</v>
      </c>
      <c r="N70" s="14">
        <v>1.2</v>
      </c>
      <c r="O70" s="14">
        <v>1.25</v>
      </c>
    </row>
    <row r="71" spans="1:15">
      <c r="A71" s="9" t="s">
        <v>295</v>
      </c>
      <c r="B71" s="10" t="s">
        <v>296</v>
      </c>
      <c r="C71" s="10" t="s">
        <v>20</v>
      </c>
      <c r="D71" s="10" t="s">
        <v>297</v>
      </c>
      <c r="E71" s="11" t="s">
        <v>298</v>
      </c>
      <c r="F71" s="9" t="s">
        <v>191</v>
      </c>
      <c r="G71" s="12"/>
      <c r="H71" s="12"/>
      <c r="I71" s="12"/>
      <c r="J71" s="13">
        <v>48</v>
      </c>
      <c r="K71" s="13">
        <v>51</v>
      </c>
      <c r="L71" s="13">
        <v>50</v>
      </c>
      <c r="M71" s="13">
        <v>54</v>
      </c>
      <c r="N71" s="14">
        <v>0.83333333333333337</v>
      </c>
      <c r="O71" s="14">
        <v>0.9</v>
      </c>
    </row>
    <row r="72" spans="1:15">
      <c r="A72" s="9" t="s">
        <v>299</v>
      </c>
      <c r="B72" s="10" t="s">
        <v>300</v>
      </c>
      <c r="C72" s="10" t="s">
        <v>59</v>
      </c>
      <c r="D72" s="10" t="s">
        <v>301</v>
      </c>
      <c r="E72" s="11" t="s">
        <v>294</v>
      </c>
      <c r="F72" s="9" t="s">
        <v>191</v>
      </c>
      <c r="G72" s="12"/>
      <c r="H72" s="12"/>
      <c r="I72" s="12"/>
      <c r="J72" s="13">
        <v>69</v>
      </c>
      <c r="K72" s="13">
        <v>72</v>
      </c>
      <c r="L72" s="13">
        <v>72</v>
      </c>
      <c r="M72" s="13">
        <v>75</v>
      </c>
      <c r="N72" s="14">
        <v>1.2</v>
      </c>
      <c r="O72" s="14">
        <v>1.25</v>
      </c>
    </row>
    <row r="73" spans="1:15">
      <c r="A73" s="9" t="s">
        <v>302</v>
      </c>
      <c r="B73" s="9" t="s">
        <v>303</v>
      </c>
      <c r="C73" s="9" t="s">
        <v>20</v>
      </c>
      <c r="D73" s="9" t="s">
        <v>304</v>
      </c>
      <c r="E73" s="11" t="s">
        <v>305</v>
      </c>
      <c r="F73" s="9" t="s">
        <v>191</v>
      </c>
      <c r="G73" s="12"/>
      <c r="H73" s="12"/>
      <c r="I73" s="12"/>
      <c r="J73" s="13">
        <v>48</v>
      </c>
      <c r="K73" s="13">
        <v>51</v>
      </c>
      <c r="L73" s="13">
        <v>50</v>
      </c>
      <c r="M73" s="13">
        <v>54</v>
      </c>
      <c r="N73" s="14">
        <v>0.83333333333333337</v>
      </c>
      <c r="O73" s="14">
        <v>0.9</v>
      </c>
    </row>
    <row r="74" spans="1:15">
      <c r="A74" s="10" t="s">
        <v>306</v>
      </c>
      <c r="B74" s="10" t="s">
        <v>307</v>
      </c>
      <c r="C74" s="10" t="s">
        <v>92</v>
      </c>
      <c r="D74" s="10" t="s">
        <v>308</v>
      </c>
      <c r="E74" s="11" t="s">
        <v>309</v>
      </c>
      <c r="F74" s="9" t="s">
        <v>191</v>
      </c>
      <c r="G74" s="12"/>
      <c r="H74" s="12"/>
      <c r="I74" s="12"/>
      <c r="J74" s="13">
        <v>48</v>
      </c>
      <c r="K74" s="13">
        <v>51</v>
      </c>
      <c r="L74" s="13">
        <v>50</v>
      </c>
      <c r="M74" s="13">
        <v>54</v>
      </c>
      <c r="N74" s="14">
        <v>0.83333333333333337</v>
      </c>
      <c r="O74" s="14">
        <v>0.9</v>
      </c>
    </row>
    <row r="75" spans="1:15">
      <c r="A75" s="9" t="s">
        <v>310</v>
      </c>
      <c r="B75" s="9" t="s">
        <v>311</v>
      </c>
      <c r="C75" s="9" t="s">
        <v>20</v>
      </c>
      <c r="D75" s="9" t="s">
        <v>312</v>
      </c>
      <c r="E75" s="11" t="s">
        <v>313</v>
      </c>
      <c r="F75" s="9" t="s">
        <v>191</v>
      </c>
      <c r="G75" s="12"/>
      <c r="H75" s="12"/>
      <c r="I75" s="12"/>
      <c r="J75" s="13">
        <v>48</v>
      </c>
      <c r="K75" s="13">
        <v>51</v>
      </c>
      <c r="L75" s="13">
        <v>50</v>
      </c>
      <c r="M75" s="13">
        <v>54</v>
      </c>
      <c r="N75" s="14">
        <v>0.83333333333333337</v>
      </c>
      <c r="O75" s="14">
        <v>0.9</v>
      </c>
    </row>
    <row r="76" spans="1:15">
      <c r="A76" s="9" t="s">
        <v>314</v>
      </c>
      <c r="B76" s="9" t="s">
        <v>315</v>
      </c>
      <c r="C76" s="9" t="s">
        <v>20</v>
      </c>
      <c r="D76" s="9" t="s">
        <v>316</v>
      </c>
      <c r="E76" s="11" t="s">
        <v>317</v>
      </c>
      <c r="F76" s="9" t="s">
        <v>191</v>
      </c>
      <c r="G76" s="12"/>
      <c r="H76" s="12"/>
      <c r="I76" s="12"/>
      <c r="J76" s="13">
        <v>48</v>
      </c>
      <c r="K76" s="13">
        <v>51</v>
      </c>
      <c r="L76" s="13">
        <v>50</v>
      </c>
      <c r="M76" s="13">
        <v>54</v>
      </c>
      <c r="N76" s="14">
        <v>0.83333333333333337</v>
      </c>
      <c r="O76" s="14">
        <v>0.9</v>
      </c>
    </row>
    <row r="77" spans="1:15">
      <c r="A77" s="9" t="s">
        <v>318</v>
      </c>
      <c r="B77" s="9" t="s">
        <v>319</v>
      </c>
      <c r="C77" s="9" t="s">
        <v>20</v>
      </c>
      <c r="D77" s="9" t="s">
        <v>320</v>
      </c>
      <c r="E77" s="11" t="s">
        <v>321</v>
      </c>
      <c r="F77" s="9" t="s">
        <v>191</v>
      </c>
      <c r="G77" s="12"/>
      <c r="H77" s="12"/>
      <c r="I77" s="12"/>
      <c r="J77" s="13">
        <v>69</v>
      </c>
      <c r="K77" s="13">
        <v>72</v>
      </c>
      <c r="L77" s="13">
        <v>72</v>
      </c>
      <c r="M77" s="13">
        <v>75</v>
      </c>
      <c r="N77" s="14">
        <v>1.2</v>
      </c>
      <c r="O77" s="14">
        <v>1.25</v>
      </c>
    </row>
    <row r="78" spans="1:15">
      <c r="A78" s="9" t="s">
        <v>322</v>
      </c>
      <c r="B78" s="10" t="s">
        <v>323</v>
      </c>
      <c r="C78" s="10" t="s">
        <v>164</v>
      </c>
      <c r="D78" s="10" t="s">
        <v>324</v>
      </c>
      <c r="E78" s="11" t="s">
        <v>325</v>
      </c>
      <c r="F78" s="9" t="s">
        <v>191</v>
      </c>
      <c r="G78" s="12"/>
      <c r="H78" s="12"/>
      <c r="I78" s="12"/>
      <c r="J78" s="13">
        <v>69</v>
      </c>
      <c r="K78" s="13">
        <v>72</v>
      </c>
      <c r="L78" s="13">
        <v>72</v>
      </c>
      <c r="M78" s="13">
        <v>75</v>
      </c>
      <c r="N78" s="14">
        <v>1.2</v>
      </c>
      <c r="O78" s="14">
        <v>1.25</v>
      </c>
    </row>
    <row r="79" spans="1:15">
      <c r="A79" s="9" t="s">
        <v>326</v>
      </c>
      <c r="B79" s="9" t="s">
        <v>327</v>
      </c>
      <c r="C79" s="9" t="s">
        <v>20</v>
      </c>
      <c r="D79" s="9" t="s">
        <v>328</v>
      </c>
      <c r="E79" s="11" t="s">
        <v>329</v>
      </c>
      <c r="F79" s="9" t="s">
        <v>191</v>
      </c>
      <c r="G79" s="12"/>
      <c r="H79" s="12"/>
      <c r="I79" s="12"/>
      <c r="J79" s="13">
        <v>48</v>
      </c>
      <c r="K79" s="13">
        <v>51</v>
      </c>
      <c r="L79" s="13">
        <v>50</v>
      </c>
      <c r="M79" s="13">
        <v>54</v>
      </c>
      <c r="N79" s="14">
        <v>0.83333333333333337</v>
      </c>
      <c r="O79" s="14">
        <v>0.9</v>
      </c>
    </row>
    <row r="80" spans="1:15">
      <c r="A80" s="16" t="s">
        <v>330</v>
      </c>
      <c r="B80" s="17" t="s">
        <v>331</v>
      </c>
      <c r="C80" s="10"/>
      <c r="D80" s="10" t="s">
        <v>332</v>
      </c>
      <c r="E80" s="11" t="s">
        <v>333</v>
      </c>
      <c r="F80" s="10" t="s">
        <v>191</v>
      </c>
      <c r="G80" s="12"/>
      <c r="H80" s="12"/>
      <c r="I80" s="12"/>
      <c r="J80" s="12" t="e">
        <v>#N/A</v>
      </c>
      <c r="K80" s="13" t="e">
        <v>#N/A</v>
      </c>
      <c r="L80" s="13" t="e">
        <v>#N/A</v>
      </c>
      <c r="M80" s="13" t="e">
        <v>#N/A</v>
      </c>
      <c r="N80" s="14" t="e">
        <v>#N/A</v>
      </c>
      <c r="O80" s="14" t="e">
        <v>#N/A</v>
      </c>
    </row>
    <row r="81" spans="1:15">
      <c r="A81" s="10" t="s">
        <v>334</v>
      </c>
      <c r="B81" s="10" t="s">
        <v>335</v>
      </c>
      <c r="C81" s="10" t="s">
        <v>92</v>
      </c>
      <c r="D81" s="10" t="s">
        <v>336</v>
      </c>
      <c r="E81" s="11" t="e">
        <v>#N/A</v>
      </c>
      <c r="F81" s="9" t="s">
        <v>337</v>
      </c>
      <c r="G81" s="12"/>
      <c r="H81" s="12"/>
      <c r="I81" s="12"/>
      <c r="J81" s="13">
        <v>55</v>
      </c>
      <c r="K81" s="13">
        <v>58</v>
      </c>
      <c r="L81" s="13">
        <v>59</v>
      </c>
      <c r="M81" s="13">
        <v>61</v>
      </c>
      <c r="N81" s="14">
        <v>0.98333333333333328</v>
      </c>
      <c r="O81" s="14">
        <v>1.0166666666666666</v>
      </c>
    </row>
    <row r="82" spans="1:15">
      <c r="A82" s="9" t="s">
        <v>338</v>
      </c>
      <c r="B82" s="9" t="s">
        <v>339</v>
      </c>
      <c r="C82" s="9" t="s">
        <v>20</v>
      </c>
      <c r="D82" s="9" t="s">
        <v>340</v>
      </c>
      <c r="E82" s="11" t="s">
        <v>341</v>
      </c>
      <c r="F82" s="9" t="s">
        <v>337</v>
      </c>
      <c r="G82" s="12"/>
      <c r="H82" s="12"/>
      <c r="I82" s="12"/>
      <c r="J82" s="13">
        <v>55</v>
      </c>
      <c r="K82" s="13">
        <v>58</v>
      </c>
      <c r="L82" s="13">
        <v>59</v>
      </c>
      <c r="M82" s="13">
        <v>61</v>
      </c>
      <c r="N82" s="14">
        <v>0.98333333333333328</v>
      </c>
      <c r="O82" s="14">
        <v>1.0166666666666666</v>
      </c>
    </row>
    <row r="83" spans="1:15">
      <c r="A83" s="10" t="s">
        <v>342</v>
      </c>
      <c r="B83" s="10" t="s">
        <v>343</v>
      </c>
      <c r="C83" s="10" t="s">
        <v>164</v>
      </c>
      <c r="D83" s="10" t="s">
        <v>344</v>
      </c>
      <c r="E83" s="11" t="s">
        <v>345</v>
      </c>
      <c r="F83" s="9" t="s">
        <v>337</v>
      </c>
      <c r="G83" s="12"/>
      <c r="H83" s="12"/>
      <c r="I83" s="12"/>
      <c r="J83" s="13" t="e">
        <v>#N/A</v>
      </c>
      <c r="K83" s="13" t="e">
        <v>#N/A</v>
      </c>
      <c r="L83" s="13" t="e">
        <v>#N/A</v>
      </c>
      <c r="M83" s="13" t="e">
        <v>#N/A</v>
      </c>
      <c r="N83" s="14" t="e">
        <v>#N/A</v>
      </c>
      <c r="O83" s="14" t="e">
        <v>#N/A</v>
      </c>
    </row>
    <row r="84" spans="1:15">
      <c r="A84" s="10" t="s">
        <v>346</v>
      </c>
      <c r="B84" s="10" t="s">
        <v>347</v>
      </c>
      <c r="C84" s="10" t="s">
        <v>20</v>
      </c>
      <c r="D84" s="10" t="s">
        <v>348</v>
      </c>
      <c r="E84" s="11" t="s">
        <v>349</v>
      </c>
      <c r="F84" s="9" t="s">
        <v>337</v>
      </c>
      <c r="G84" s="12"/>
      <c r="H84" s="12"/>
      <c r="I84" s="12"/>
      <c r="J84" s="13">
        <v>55</v>
      </c>
      <c r="K84" s="13">
        <v>58</v>
      </c>
      <c r="L84" s="13">
        <v>59</v>
      </c>
      <c r="M84" s="13">
        <v>61</v>
      </c>
      <c r="N84" s="14">
        <v>0.98333333333333328</v>
      </c>
      <c r="O84" s="14">
        <v>1.0166666666666666</v>
      </c>
    </row>
    <row r="85" spans="1:15">
      <c r="A85" s="9" t="s">
        <v>350</v>
      </c>
      <c r="B85" s="9" t="s">
        <v>351</v>
      </c>
      <c r="C85" s="9" t="s">
        <v>20</v>
      </c>
      <c r="D85" s="9" t="s">
        <v>352</v>
      </c>
      <c r="E85" s="11" t="s">
        <v>353</v>
      </c>
      <c r="F85" s="9" t="s">
        <v>337</v>
      </c>
      <c r="G85" s="12"/>
      <c r="H85" s="12"/>
      <c r="I85" s="12"/>
      <c r="J85" s="13">
        <v>55</v>
      </c>
      <c r="K85" s="13">
        <v>58</v>
      </c>
      <c r="L85" s="13">
        <v>59</v>
      </c>
      <c r="M85" s="13">
        <v>61</v>
      </c>
      <c r="N85" s="14">
        <v>0.98333333333333328</v>
      </c>
      <c r="O85" s="14">
        <v>1.0166666666666666</v>
      </c>
    </row>
    <row r="86" spans="1:15">
      <c r="A86" s="9" t="s">
        <v>354</v>
      </c>
      <c r="B86" s="10" t="s">
        <v>355</v>
      </c>
      <c r="C86" s="10" t="s">
        <v>164</v>
      </c>
      <c r="D86" s="10" t="s">
        <v>356</v>
      </c>
      <c r="E86" s="11" t="s">
        <v>357</v>
      </c>
      <c r="F86" s="9" t="s">
        <v>337</v>
      </c>
      <c r="G86" s="12"/>
      <c r="H86" s="12"/>
      <c r="I86" s="12"/>
      <c r="J86" s="13">
        <v>55</v>
      </c>
      <c r="K86" s="13">
        <v>58</v>
      </c>
      <c r="L86" s="13">
        <v>59</v>
      </c>
      <c r="M86" s="13">
        <v>61</v>
      </c>
      <c r="N86" s="14">
        <v>0.98333333333333328</v>
      </c>
      <c r="O86" s="14">
        <v>1.0166666666666666</v>
      </c>
    </row>
    <row r="87" spans="1:15">
      <c r="A87" s="10" t="s">
        <v>358</v>
      </c>
      <c r="B87" s="10" t="s">
        <v>359</v>
      </c>
      <c r="C87" s="10" t="s">
        <v>30</v>
      </c>
      <c r="D87" s="10" t="s">
        <v>360</v>
      </c>
      <c r="E87" s="11" t="s">
        <v>361</v>
      </c>
      <c r="F87" s="9" t="s">
        <v>337</v>
      </c>
      <c r="G87" s="12"/>
      <c r="H87" s="12"/>
      <c r="I87" s="12"/>
      <c r="J87" s="13">
        <v>55</v>
      </c>
      <c r="K87" s="13">
        <v>58</v>
      </c>
      <c r="L87" s="13">
        <v>59</v>
      </c>
      <c r="M87" s="13">
        <v>61</v>
      </c>
      <c r="N87" s="14">
        <v>0.98333333333333328</v>
      </c>
      <c r="O87" s="14">
        <v>1.0166666666666666</v>
      </c>
    </row>
    <row r="88" spans="1:15">
      <c r="A88" s="9" t="s">
        <v>362</v>
      </c>
      <c r="B88" s="10" t="s">
        <v>363</v>
      </c>
      <c r="C88" s="10" t="s">
        <v>16</v>
      </c>
      <c r="D88" s="10" t="s">
        <v>364</v>
      </c>
      <c r="E88" s="11" t="s">
        <v>365</v>
      </c>
      <c r="F88" s="9" t="s">
        <v>337</v>
      </c>
      <c r="G88" s="12"/>
      <c r="H88" s="12"/>
      <c r="I88" s="12"/>
      <c r="J88" s="13">
        <v>55</v>
      </c>
      <c r="K88" s="13">
        <v>58</v>
      </c>
      <c r="L88" s="13">
        <v>59</v>
      </c>
      <c r="M88" s="13">
        <v>61</v>
      </c>
      <c r="N88" s="14">
        <v>0.98333333333333328</v>
      </c>
      <c r="O88" s="14">
        <v>1.0166666666666666</v>
      </c>
    </row>
    <row r="89" spans="1:15">
      <c r="A89" s="9" t="s">
        <v>366</v>
      </c>
      <c r="B89" s="10" t="s">
        <v>367</v>
      </c>
      <c r="C89" s="10" t="s">
        <v>368</v>
      </c>
      <c r="D89" s="10" t="s">
        <v>369</v>
      </c>
      <c r="E89" s="11" t="s">
        <v>370</v>
      </c>
      <c r="F89" s="9" t="s">
        <v>337</v>
      </c>
      <c r="G89" s="12"/>
      <c r="H89" s="12"/>
      <c r="I89" s="12"/>
      <c r="J89" s="13">
        <v>61</v>
      </c>
      <c r="K89" s="13">
        <v>64</v>
      </c>
      <c r="L89" s="13">
        <v>65</v>
      </c>
      <c r="M89" s="13">
        <v>67</v>
      </c>
      <c r="N89" s="14">
        <v>1.0833333333333333</v>
      </c>
      <c r="O89" s="14">
        <v>1.1166666666666667</v>
      </c>
    </row>
    <row r="90" spans="1:15">
      <c r="A90" s="10" t="s">
        <v>371</v>
      </c>
      <c r="B90" s="10" t="s">
        <v>372</v>
      </c>
      <c r="C90" s="10" t="s">
        <v>92</v>
      </c>
      <c r="D90" s="10" t="s">
        <v>373</v>
      </c>
      <c r="E90" s="11" t="s">
        <v>374</v>
      </c>
      <c r="F90" s="9" t="s">
        <v>337</v>
      </c>
      <c r="G90" s="12"/>
      <c r="H90" s="12"/>
      <c r="I90" s="12"/>
      <c r="J90" s="13">
        <v>55</v>
      </c>
      <c r="K90" s="13">
        <v>58</v>
      </c>
      <c r="L90" s="13">
        <v>59</v>
      </c>
      <c r="M90" s="13">
        <v>61</v>
      </c>
      <c r="N90" s="14">
        <v>0.98333333333333328</v>
      </c>
      <c r="O90" s="14">
        <v>1.0166666666666666</v>
      </c>
    </row>
    <row r="91" spans="1:15">
      <c r="A91" s="9" t="s">
        <v>375</v>
      </c>
      <c r="B91" s="10" t="s">
        <v>376</v>
      </c>
      <c r="C91" s="10" t="s">
        <v>164</v>
      </c>
      <c r="D91" s="10" t="s">
        <v>377</v>
      </c>
      <c r="E91" s="11" t="e">
        <v>#N/A</v>
      </c>
      <c r="F91" s="9" t="s">
        <v>337</v>
      </c>
      <c r="G91" s="12"/>
      <c r="H91" s="12"/>
      <c r="I91" s="12"/>
      <c r="J91" s="13" t="e">
        <v>#N/A</v>
      </c>
      <c r="K91" s="13" t="e">
        <v>#N/A</v>
      </c>
      <c r="L91" s="13" t="e">
        <v>#N/A</v>
      </c>
      <c r="M91" s="13" t="e">
        <v>#N/A</v>
      </c>
      <c r="N91" s="14" t="e">
        <v>#N/A</v>
      </c>
      <c r="O91" s="14" t="e">
        <v>#N/A</v>
      </c>
    </row>
    <row r="92" spans="1:15">
      <c r="A92" s="9" t="s">
        <v>378</v>
      </c>
      <c r="B92" s="9" t="s">
        <v>379</v>
      </c>
      <c r="C92" s="9" t="s">
        <v>20</v>
      </c>
      <c r="D92" s="9" t="s">
        <v>380</v>
      </c>
      <c r="E92" s="11" t="s">
        <v>381</v>
      </c>
      <c r="F92" s="9" t="s">
        <v>337</v>
      </c>
      <c r="G92" s="12"/>
      <c r="H92" s="12"/>
      <c r="I92" s="12"/>
      <c r="J92" s="13">
        <v>55</v>
      </c>
      <c r="K92" s="13">
        <v>58</v>
      </c>
      <c r="L92" s="13">
        <v>59</v>
      </c>
      <c r="M92" s="13">
        <v>61</v>
      </c>
      <c r="N92" s="14">
        <v>0.98333333333333328</v>
      </c>
      <c r="O92" s="14">
        <v>1.0166666666666666</v>
      </c>
    </row>
    <row r="93" spans="1:15">
      <c r="A93" s="9" t="s">
        <v>382</v>
      </c>
      <c r="B93" s="9" t="s">
        <v>383</v>
      </c>
      <c r="C93" s="9" t="s">
        <v>20</v>
      </c>
      <c r="D93" s="9" t="s">
        <v>384</v>
      </c>
      <c r="E93" s="11" t="s">
        <v>385</v>
      </c>
      <c r="F93" s="9" t="s">
        <v>337</v>
      </c>
      <c r="G93" s="12"/>
      <c r="H93" s="12"/>
      <c r="I93" s="12"/>
      <c r="J93" s="13">
        <v>55</v>
      </c>
      <c r="K93" s="13">
        <v>58</v>
      </c>
      <c r="L93" s="13">
        <v>59</v>
      </c>
      <c r="M93" s="13">
        <v>61</v>
      </c>
      <c r="N93" s="14">
        <v>0.98333333333333328</v>
      </c>
      <c r="O93" s="14">
        <v>1.0166666666666666</v>
      </c>
    </row>
    <row r="94" spans="1:15">
      <c r="A94" s="9" t="s">
        <v>386</v>
      </c>
      <c r="B94" s="9" t="s">
        <v>387</v>
      </c>
      <c r="C94" s="9" t="s">
        <v>20</v>
      </c>
      <c r="D94" s="9" t="s">
        <v>388</v>
      </c>
      <c r="E94" s="11" t="s">
        <v>389</v>
      </c>
      <c r="F94" s="9" t="s">
        <v>337</v>
      </c>
      <c r="G94" s="12"/>
      <c r="H94" s="12"/>
      <c r="I94" s="12"/>
      <c r="J94" s="13">
        <v>74</v>
      </c>
      <c r="K94" s="13">
        <v>77</v>
      </c>
      <c r="L94" s="13">
        <v>79</v>
      </c>
      <c r="M94" s="13">
        <v>81</v>
      </c>
      <c r="N94" s="14">
        <v>1.3166666666666667</v>
      </c>
      <c r="O94" s="14">
        <v>1.35</v>
      </c>
    </row>
    <row r="95" spans="1:15">
      <c r="A95" s="9" t="s">
        <v>390</v>
      </c>
      <c r="B95" s="9" t="s">
        <v>391</v>
      </c>
      <c r="C95" s="9" t="s">
        <v>20</v>
      </c>
      <c r="D95" s="9" t="s">
        <v>392</v>
      </c>
      <c r="E95" s="11" t="s">
        <v>393</v>
      </c>
      <c r="F95" s="9" t="s">
        <v>337</v>
      </c>
      <c r="G95" s="12"/>
      <c r="H95" s="12"/>
      <c r="I95" s="12"/>
      <c r="J95" s="13">
        <v>74</v>
      </c>
      <c r="K95" s="13">
        <v>77</v>
      </c>
      <c r="L95" s="13">
        <v>79</v>
      </c>
      <c r="M95" s="13">
        <v>81</v>
      </c>
      <c r="N95" s="14">
        <v>1.3166666666666667</v>
      </c>
      <c r="O95" s="14">
        <v>1.35</v>
      </c>
    </row>
    <row r="96" spans="1:15">
      <c r="A96" s="9" t="s">
        <v>394</v>
      </c>
      <c r="B96" s="9" t="s">
        <v>395</v>
      </c>
      <c r="C96" s="9" t="s">
        <v>20</v>
      </c>
      <c r="D96" s="9" t="s">
        <v>396</v>
      </c>
      <c r="E96" s="11" t="s">
        <v>397</v>
      </c>
      <c r="F96" s="9" t="s">
        <v>337</v>
      </c>
      <c r="G96" s="12"/>
      <c r="H96" s="12"/>
      <c r="I96" s="12"/>
      <c r="J96" s="13">
        <v>74</v>
      </c>
      <c r="K96" s="13">
        <v>77</v>
      </c>
      <c r="L96" s="13">
        <v>79</v>
      </c>
      <c r="M96" s="13">
        <v>81</v>
      </c>
      <c r="N96" s="14">
        <v>1.3166666666666667</v>
      </c>
      <c r="O96" s="14">
        <v>1.35</v>
      </c>
    </row>
    <row r="97" spans="1:15">
      <c r="A97" s="9" t="s">
        <v>398</v>
      </c>
      <c r="B97" s="9" t="s">
        <v>399</v>
      </c>
      <c r="C97" s="9" t="s">
        <v>20</v>
      </c>
      <c r="D97" s="9" t="s">
        <v>400</v>
      </c>
      <c r="E97" s="11" t="s">
        <v>401</v>
      </c>
      <c r="F97" s="9" t="s">
        <v>337</v>
      </c>
      <c r="G97" s="12"/>
      <c r="H97" s="12"/>
      <c r="I97" s="12"/>
      <c r="J97" s="13">
        <v>55</v>
      </c>
      <c r="K97" s="13">
        <v>58</v>
      </c>
      <c r="L97" s="13">
        <v>59</v>
      </c>
      <c r="M97" s="13">
        <v>61</v>
      </c>
      <c r="N97" s="14">
        <v>0.98333333333333328</v>
      </c>
      <c r="O97" s="14">
        <v>1.0166666666666666</v>
      </c>
    </row>
    <row r="98" spans="1:15">
      <c r="A98" s="9" t="s">
        <v>402</v>
      </c>
      <c r="B98" s="9" t="s">
        <v>403</v>
      </c>
      <c r="C98" s="9" t="s">
        <v>16</v>
      </c>
      <c r="D98" s="9" t="s">
        <v>404</v>
      </c>
      <c r="E98" s="11" t="e">
        <v>#N/A</v>
      </c>
      <c r="F98" s="9" t="s">
        <v>337</v>
      </c>
      <c r="G98" s="12"/>
      <c r="H98" s="12"/>
      <c r="I98" s="12"/>
      <c r="J98" s="13" t="e">
        <v>#N/A</v>
      </c>
      <c r="K98" s="13" t="e">
        <v>#N/A</v>
      </c>
      <c r="L98" s="13" t="e">
        <v>#N/A</v>
      </c>
      <c r="M98" s="13" t="e">
        <v>#N/A</v>
      </c>
      <c r="N98" s="14" t="e">
        <v>#N/A</v>
      </c>
      <c r="O98" s="14" t="e">
        <v>#N/A</v>
      </c>
    </row>
    <row r="99" spans="1:15">
      <c r="A99" s="9" t="s">
        <v>405</v>
      </c>
      <c r="B99" s="9" t="s">
        <v>406</v>
      </c>
      <c r="C99" s="9" t="s">
        <v>20</v>
      </c>
      <c r="D99" s="9" t="s">
        <v>407</v>
      </c>
      <c r="E99" s="11" t="s">
        <v>408</v>
      </c>
      <c r="F99" s="9" t="s">
        <v>337</v>
      </c>
      <c r="G99" s="12"/>
      <c r="H99" s="12"/>
      <c r="I99" s="12"/>
      <c r="J99" s="13">
        <v>55</v>
      </c>
      <c r="K99" s="13">
        <v>58</v>
      </c>
      <c r="L99" s="13">
        <v>59</v>
      </c>
      <c r="M99" s="13">
        <v>61</v>
      </c>
      <c r="N99" s="14">
        <v>0.98333333333333328</v>
      </c>
      <c r="O99" s="14">
        <v>1.0166666666666666</v>
      </c>
    </row>
    <row r="100" spans="1:15">
      <c r="A100" s="10" t="s">
        <v>409</v>
      </c>
      <c r="B100" s="10" t="s">
        <v>410</v>
      </c>
      <c r="C100" s="10" t="s">
        <v>92</v>
      </c>
      <c r="D100" s="10" t="s">
        <v>411</v>
      </c>
      <c r="E100" s="11" t="s">
        <v>412</v>
      </c>
      <c r="F100" s="9" t="s">
        <v>337</v>
      </c>
      <c r="G100" s="12"/>
      <c r="H100" s="12"/>
      <c r="I100" s="12"/>
      <c r="J100" s="13">
        <v>55</v>
      </c>
      <c r="K100" s="13">
        <v>58</v>
      </c>
      <c r="L100" s="13">
        <v>59</v>
      </c>
      <c r="M100" s="13">
        <v>61</v>
      </c>
      <c r="N100" s="14">
        <v>0.98333333333333328</v>
      </c>
      <c r="O100" s="14">
        <v>1.0166666666666666</v>
      </c>
    </row>
    <row r="101" spans="1:15">
      <c r="A101" s="9" t="s">
        <v>413</v>
      </c>
      <c r="B101" s="9" t="s">
        <v>414</v>
      </c>
      <c r="C101" s="9" t="s">
        <v>30</v>
      </c>
      <c r="D101" s="9" t="s">
        <v>415</v>
      </c>
      <c r="E101" s="11" t="s">
        <v>416</v>
      </c>
      <c r="F101" s="9" t="s">
        <v>337</v>
      </c>
      <c r="G101" s="12"/>
      <c r="H101" s="12"/>
      <c r="I101" s="12"/>
      <c r="J101" s="13" t="e">
        <v>#N/A</v>
      </c>
      <c r="K101" s="13" t="e">
        <v>#N/A</v>
      </c>
      <c r="L101" s="13" t="e">
        <v>#N/A</v>
      </c>
      <c r="M101" s="13" t="e">
        <v>#N/A</v>
      </c>
      <c r="N101" s="14" t="e">
        <v>#N/A</v>
      </c>
      <c r="O101" s="14" t="e">
        <v>#N/A</v>
      </c>
    </row>
    <row r="102" spans="1:15">
      <c r="A102" s="10" t="s">
        <v>417</v>
      </c>
      <c r="B102" s="10" t="s">
        <v>418</v>
      </c>
      <c r="C102" s="10" t="s">
        <v>92</v>
      </c>
      <c r="D102" s="10" t="s">
        <v>419</v>
      </c>
      <c r="E102" s="11" t="s">
        <v>420</v>
      </c>
      <c r="F102" s="9" t="s">
        <v>337</v>
      </c>
      <c r="G102" s="12"/>
      <c r="H102" s="12"/>
      <c r="I102" s="12"/>
      <c r="J102" s="13">
        <v>55</v>
      </c>
      <c r="K102" s="13">
        <v>58</v>
      </c>
      <c r="L102" s="13">
        <v>59</v>
      </c>
      <c r="M102" s="13">
        <v>61</v>
      </c>
      <c r="N102" s="14">
        <v>0.98333333333333328</v>
      </c>
      <c r="O102" s="14">
        <v>1.0166666666666666</v>
      </c>
    </row>
    <row r="103" spans="1:15">
      <c r="A103" s="9" t="s">
        <v>421</v>
      </c>
      <c r="B103" s="9" t="s">
        <v>422</v>
      </c>
      <c r="C103" s="9" t="s">
        <v>20</v>
      </c>
      <c r="D103" s="9" t="s">
        <v>423</v>
      </c>
      <c r="E103" s="11" t="s">
        <v>424</v>
      </c>
      <c r="F103" s="9" t="s">
        <v>337</v>
      </c>
      <c r="G103" s="12"/>
      <c r="H103" s="12"/>
      <c r="I103" s="12"/>
      <c r="J103" s="13">
        <v>55</v>
      </c>
      <c r="K103" s="13">
        <v>58</v>
      </c>
      <c r="L103" s="13">
        <v>59</v>
      </c>
      <c r="M103" s="13">
        <v>61</v>
      </c>
      <c r="N103" s="14">
        <v>0.98333333333333328</v>
      </c>
      <c r="O103" s="14">
        <v>1.0166666666666666</v>
      </c>
    </row>
    <row r="104" spans="1:15">
      <c r="A104" s="9" t="s">
        <v>425</v>
      </c>
      <c r="B104" s="9" t="s">
        <v>426</v>
      </c>
      <c r="C104" s="9" t="s">
        <v>20</v>
      </c>
      <c r="D104" s="9" t="s">
        <v>427</v>
      </c>
      <c r="E104" s="11" t="s">
        <v>428</v>
      </c>
      <c r="F104" s="9" t="s">
        <v>337</v>
      </c>
      <c r="G104" s="12"/>
      <c r="H104" s="12"/>
      <c r="I104" s="12"/>
      <c r="J104" s="13">
        <v>55</v>
      </c>
      <c r="K104" s="13">
        <v>58</v>
      </c>
      <c r="L104" s="13">
        <v>59</v>
      </c>
      <c r="M104" s="13">
        <v>61</v>
      </c>
      <c r="N104" s="14">
        <v>0.98333333333333328</v>
      </c>
      <c r="O104" s="14">
        <v>1.0166666666666666</v>
      </c>
    </row>
    <row r="105" spans="1:15">
      <c r="A105" s="9" t="s">
        <v>429</v>
      </c>
      <c r="B105" s="9" t="s">
        <v>430</v>
      </c>
      <c r="C105" s="9" t="s">
        <v>30</v>
      </c>
      <c r="D105" s="9" t="s">
        <v>431</v>
      </c>
      <c r="E105" s="11" t="s">
        <v>412</v>
      </c>
      <c r="F105" s="9" t="s">
        <v>337</v>
      </c>
      <c r="G105" s="12"/>
      <c r="H105" s="12"/>
      <c r="I105" s="12"/>
      <c r="J105" s="13">
        <v>60</v>
      </c>
      <c r="K105" s="13">
        <v>63</v>
      </c>
      <c r="L105" s="13">
        <v>64</v>
      </c>
      <c r="M105" s="13">
        <v>66</v>
      </c>
      <c r="N105" s="14">
        <v>1.0666666666666667</v>
      </c>
      <c r="O105" s="14">
        <v>1.1000000000000001</v>
      </c>
    </row>
    <row r="106" spans="1:15">
      <c r="A106" s="9" t="s">
        <v>432</v>
      </c>
      <c r="B106" s="10" t="s">
        <v>433</v>
      </c>
      <c r="C106" s="10" t="s">
        <v>20</v>
      </c>
      <c r="D106" s="32" t="s">
        <v>434</v>
      </c>
      <c r="E106" s="11" t="s">
        <v>435</v>
      </c>
      <c r="F106" s="9" t="s">
        <v>337</v>
      </c>
      <c r="G106" s="12"/>
      <c r="H106" s="12"/>
      <c r="I106" s="12"/>
      <c r="J106" s="13">
        <v>55</v>
      </c>
      <c r="K106" s="13">
        <v>58</v>
      </c>
      <c r="L106" s="13">
        <v>59</v>
      </c>
      <c r="M106" s="13">
        <v>61</v>
      </c>
      <c r="N106" s="14">
        <v>0.98333333333333328</v>
      </c>
      <c r="O106" s="14">
        <v>1.0166666666666666</v>
      </c>
    </row>
    <row r="107" spans="1:15">
      <c r="A107" s="9" t="s">
        <v>436</v>
      </c>
      <c r="B107" s="9" t="s">
        <v>437</v>
      </c>
      <c r="C107" s="9" t="s">
        <v>20</v>
      </c>
      <c r="D107" s="9" t="s">
        <v>438</v>
      </c>
      <c r="E107" s="11" t="s">
        <v>439</v>
      </c>
      <c r="F107" s="9" t="s">
        <v>337</v>
      </c>
      <c r="G107" s="12"/>
      <c r="H107" s="12"/>
      <c r="I107" s="12"/>
      <c r="J107" s="13">
        <v>60</v>
      </c>
      <c r="K107" s="13">
        <v>63</v>
      </c>
      <c r="L107" s="13">
        <v>64</v>
      </c>
      <c r="M107" s="13">
        <v>66</v>
      </c>
      <c r="N107" s="14">
        <v>1.0666666666666667</v>
      </c>
      <c r="O107" s="14">
        <v>1.1000000000000001</v>
      </c>
    </row>
    <row r="108" spans="1:15">
      <c r="A108" s="9" t="s">
        <v>440</v>
      </c>
      <c r="B108" s="9" t="s">
        <v>441</v>
      </c>
      <c r="C108" s="9" t="s">
        <v>20</v>
      </c>
      <c r="D108" s="9" t="s">
        <v>442</v>
      </c>
      <c r="E108" s="11" t="s">
        <v>443</v>
      </c>
      <c r="F108" s="9" t="s">
        <v>337</v>
      </c>
      <c r="G108" s="12"/>
      <c r="H108" s="12"/>
      <c r="I108" s="12"/>
      <c r="J108" s="13">
        <v>55</v>
      </c>
      <c r="K108" s="13">
        <v>58</v>
      </c>
      <c r="L108" s="13">
        <v>59</v>
      </c>
      <c r="M108" s="13">
        <v>61</v>
      </c>
      <c r="N108" s="14">
        <v>0.98333333333333328</v>
      </c>
      <c r="O108" s="14">
        <v>1.0166666666666666</v>
      </c>
    </row>
    <row r="109" spans="1:15">
      <c r="A109" s="9" t="s">
        <v>444</v>
      </c>
      <c r="B109" s="9" t="s">
        <v>445</v>
      </c>
      <c r="C109" s="9" t="s">
        <v>20</v>
      </c>
      <c r="D109" s="9" t="s">
        <v>446</v>
      </c>
      <c r="E109" s="11" t="s">
        <v>447</v>
      </c>
      <c r="F109" s="9" t="s">
        <v>337</v>
      </c>
      <c r="G109" s="12"/>
      <c r="H109" s="12"/>
      <c r="I109" s="12"/>
      <c r="J109" s="13">
        <v>60</v>
      </c>
      <c r="K109" s="13">
        <v>63</v>
      </c>
      <c r="L109" s="13">
        <v>64</v>
      </c>
      <c r="M109" s="13">
        <v>66</v>
      </c>
      <c r="N109" s="14">
        <v>1.0666666666666667</v>
      </c>
      <c r="O109" s="14">
        <v>1.1000000000000001</v>
      </c>
    </row>
    <row r="110" spans="1:15">
      <c r="A110" s="9" t="s">
        <v>448</v>
      </c>
      <c r="B110" s="9" t="s">
        <v>449</v>
      </c>
      <c r="C110" s="9" t="s">
        <v>20</v>
      </c>
      <c r="D110" s="9" t="s">
        <v>450</v>
      </c>
      <c r="E110" s="11" t="s">
        <v>451</v>
      </c>
      <c r="F110" s="9" t="s">
        <v>337</v>
      </c>
      <c r="G110" s="12"/>
      <c r="H110" s="12"/>
      <c r="I110" s="12"/>
      <c r="J110" s="13">
        <v>60</v>
      </c>
      <c r="K110" s="13">
        <v>63</v>
      </c>
      <c r="L110" s="13">
        <v>64</v>
      </c>
      <c r="M110" s="13">
        <v>66</v>
      </c>
      <c r="N110" s="14">
        <v>1.0666666666666667</v>
      </c>
      <c r="O110" s="14">
        <v>1.1000000000000001</v>
      </c>
    </row>
    <row r="111" spans="1:15">
      <c r="A111" s="9" t="s">
        <v>452</v>
      </c>
      <c r="B111" s="9" t="s">
        <v>453</v>
      </c>
      <c r="C111" s="9" t="s">
        <v>20</v>
      </c>
      <c r="D111" s="9" t="s">
        <v>454</v>
      </c>
      <c r="E111" s="11" t="s">
        <v>455</v>
      </c>
      <c r="F111" s="9" t="s">
        <v>337</v>
      </c>
      <c r="G111" s="12"/>
      <c r="H111" s="12"/>
      <c r="I111" s="12"/>
      <c r="J111" s="13">
        <v>67</v>
      </c>
      <c r="K111" s="13">
        <v>70</v>
      </c>
      <c r="L111" s="13">
        <v>71</v>
      </c>
      <c r="M111" s="13">
        <v>73</v>
      </c>
      <c r="N111" s="14">
        <v>1.1833333333333333</v>
      </c>
      <c r="O111" s="14">
        <v>1.2166666666666666</v>
      </c>
    </row>
    <row r="112" spans="1:15">
      <c r="A112" s="10" t="s">
        <v>456</v>
      </c>
      <c r="B112" s="10" t="s">
        <v>457</v>
      </c>
      <c r="C112" s="10" t="s">
        <v>92</v>
      </c>
      <c r="D112" s="10" t="s">
        <v>458</v>
      </c>
      <c r="E112" s="11" t="s">
        <v>459</v>
      </c>
      <c r="F112" s="9" t="s">
        <v>337</v>
      </c>
      <c r="G112" s="12"/>
      <c r="H112" s="12"/>
      <c r="I112" s="12"/>
      <c r="J112" s="13">
        <v>55</v>
      </c>
      <c r="K112" s="13">
        <v>58</v>
      </c>
      <c r="L112" s="13">
        <v>59</v>
      </c>
      <c r="M112" s="13">
        <v>61</v>
      </c>
      <c r="N112" s="14">
        <v>0.98333333333333328</v>
      </c>
      <c r="O112" s="14">
        <v>1.0166666666666666</v>
      </c>
    </row>
    <row r="113" spans="1:15">
      <c r="A113" s="9" t="s">
        <v>460</v>
      </c>
      <c r="B113" s="9" t="s">
        <v>461</v>
      </c>
      <c r="C113" s="9" t="s">
        <v>20</v>
      </c>
      <c r="D113" s="9" t="s">
        <v>462</v>
      </c>
      <c r="E113" s="11" t="s">
        <v>463</v>
      </c>
      <c r="F113" s="9" t="s">
        <v>337</v>
      </c>
      <c r="G113" s="12"/>
      <c r="H113" s="12"/>
      <c r="I113" s="12"/>
      <c r="J113" s="13">
        <v>63</v>
      </c>
      <c r="K113" s="13">
        <v>66</v>
      </c>
      <c r="L113" s="13">
        <v>67</v>
      </c>
      <c r="M113" s="13">
        <v>69</v>
      </c>
      <c r="N113" s="14">
        <v>1.1166666666666667</v>
      </c>
      <c r="O113" s="14">
        <v>1.1499999999999999</v>
      </c>
    </row>
    <row r="114" spans="1:15">
      <c r="A114" s="9" t="s">
        <v>464</v>
      </c>
      <c r="B114" s="9" t="s">
        <v>465</v>
      </c>
      <c r="C114" s="9" t="s">
        <v>20</v>
      </c>
      <c r="D114" s="9" t="s">
        <v>466</v>
      </c>
      <c r="E114" s="11" t="s">
        <v>467</v>
      </c>
      <c r="F114" s="9" t="s">
        <v>337</v>
      </c>
      <c r="G114" s="12"/>
      <c r="H114" s="12"/>
      <c r="I114" s="12"/>
      <c r="J114" s="13">
        <v>60</v>
      </c>
      <c r="K114" s="13">
        <v>63</v>
      </c>
      <c r="L114" s="13">
        <v>64</v>
      </c>
      <c r="M114" s="13">
        <v>66</v>
      </c>
      <c r="N114" s="14">
        <v>1.0666666666666667</v>
      </c>
      <c r="O114" s="14">
        <v>1.1000000000000001</v>
      </c>
    </row>
    <row r="115" spans="1:15">
      <c r="A115" s="9" t="s">
        <v>468</v>
      </c>
      <c r="B115" s="10" t="s">
        <v>469</v>
      </c>
      <c r="C115" s="10" t="s">
        <v>20</v>
      </c>
      <c r="D115" s="10" t="s">
        <v>470</v>
      </c>
      <c r="E115" s="11" t="s">
        <v>471</v>
      </c>
      <c r="F115" s="9" t="s">
        <v>337</v>
      </c>
      <c r="G115" s="12"/>
      <c r="H115" s="12"/>
      <c r="I115" s="12"/>
      <c r="J115" s="13">
        <v>63</v>
      </c>
      <c r="K115" s="13">
        <v>66</v>
      </c>
      <c r="L115" s="13">
        <v>67</v>
      </c>
      <c r="M115" s="13">
        <v>69</v>
      </c>
      <c r="N115" s="14">
        <v>1.1166666666666667</v>
      </c>
      <c r="O115" s="14">
        <v>1.1499999999999999</v>
      </c>
    </row>
    <row r="116" spans="1:15">
      <c r="A116" s="9" t="s">
        <v>472</v>
      </c>
      <c r="B116" s="9" t="s">
        <v>473</v>
      </c>
      <c r="C116" s="9" t="s">
        <v>20</v>
      </c>
      <c r="D116" s="9" t="s">
        <v>474</v>
      </c>
      <c r="E116" s="11" t="s">
        <v>475</v>
      </c>
      <c r="F116" s="9" t="s">
        <v>337</v>
      </c>
      <c r="G116" s="12"/>
      <c r="H116" s="12"/>
      <c r="I116" s="12"/>
      <c r="J116" s="13">
        <v>63</v>
      </c>
      <c r="K116" s="13">
        <v>66</v>
      </c>
      <c r="L116" s="13">
        <v>67</v>
      </c>
      <c r="M116" s="13">
        <v>69</v>
      </c>
      <c r="N116" s="14">
        <v>1.1166666666666667</v>
      </c>
      <c r="O116" s="14">
        <v>1.1499999999999999</v>
      </c>
    </row>
    <row r="117" spans="1:15">
      <c r="A117" s="9" t="s">
        <v>476</v>
      </c>
      <c r="B117" s="9" t="s">
        <v>477</v>
      </c>
      <c r="C117" s="9" t="s">
        <v>20</v>
      </c>
      <c r="D117" s="9" t="s">
        <v>478</v>
      </c>
      <c r="E117" s="11" t="s">
        <v>479</v>
      </c>
      <c r="F117" s="9" t="s">
        <v>337</v>
      </c>
      <c r="G117" s="12"/>
      <c r="H117" s="12"/>
      <c r="I117" s="12"/>
      <c r="J117" s="13">
        <v>60</v>
      </c>
      <c r="K117" s="13">
        <v>63</v>
      </c>
      <c r="L117" s="13">
        <v>64</v>
      </c>
      <c r="M117" s="13">
        <v>66</v>
      </c>
      <c r="N117" s="14">
        <v>1.0666666666666667</v>
      </c>
      <c r="O117" s="14">
        <v>1.1000000000000001</v>
      </c>
    </row>
    <row r="118" spans="1:15">
      <c r="A118" s="9" t="s">
        <v>480</v>
      </c>
      <c r="B118" s="9" t="s">
        <v>481</v>
      </c>
      <c r="C118" s="9" t="s">
        <v>20</v>
      </c>
      <c r="D118" s="9" t="s">
        <v>482</v>
      </c>
      <c r="E118" s="11" t="s">
        <v>483</v>
      </c>
      <c r="F118" s="9" t="s">
        <v>337</v>
      </c>
      <c r="G118" s="12"/>
      <c r="H118" s="12"/>
      <c r="I118" s="12"/>
      <c r="J118" s="13">
        <v>63</v>
      </c>
      <c r="K118" s="13">
        <v>66</v>
      </c>
      <c r="L118" s="13">
        <v>67</v>
      </c>
      <c r="M118" s="13">
        <v>69</v>
      </c>
      <c r="N118" s="14">
        <v>1.1166666666666667</v>
      </c>
      <c r="O118" s="14">
        <v>1.1499999999999999</v>
      </c>
    </row>
    <row r="119" spans="1:15">
      <c r="A119" s="9" t="s">
        <v>484</v>
      </c>
      <c r="B119" s="9" t="s">
        <v>485</v>
      </c>
      <c r="C119" s="9" t="s">
        <v>20</v>
      </c>
      <c r="D119" s="9" t="s">
        <v>486</v>
      </c>
      <c r="E119" s="11" t="s">
        <v>487</v>
      </c>
      <c r="F119" s="9" t="s">
        <v>337</v>
      </c>
      <c r="G119" s="12"/>
      <c r="H119" s="12"/>
      <c r="I119" s="12"/>
      <c r="J119" s="13">
        <v>60</v>
      </c>
      <c r="K119" s="13">
        <v>63</v>
      </c>
      <c r="L119" s="13">
        <v>64</v>
      </c>
      <c r="M119" s="13">
        <v>66</v>
      </c>
      <c r="N119" s="14">
        <v>1.0666666666666667</v>
      </c>
      <c r="O119" s="14">
        <v>1.1000000000000001</v>
      </c>
    </row>
    <row r="120" spans="1:15">
      <c r="A120" s="9" t="s">
        <v>488</v>
      </c>
      <c r="B120" s="9" t="s">
        <v>489</v>
      </c>
      <c r="C120" s="9" t="s">
        <v>20</v>
      </c>
      <c r="D120" s="9" t="s">
        <v>490</v>
      </c>
      <c r="E120" s="11" t="s">
        <v>491</v>
      </c>
      <c r="F120" s="9" t="s">
        <v>337</v>
      </c>
      <c r="G120" s="12"/>
      <c r="H120" s="12"/>
      <c r="I120" s="12"/>
      <c r="J120" s="13">
        <v>63</v>
      </c>
      <c r="K120" s="13">
        <v>66</v>
      </c>
      <c r="L120" s="13">
        <v>67</v>
      </c>
      <c r="M120" s="13">
        <v>69</v>
      </c>
      <c r="N120" s="14">
        <v>1.1166666666666667</v>
      </c>
      <c r="O120" s="14">
        <v>1.1499999999999999</v>
      </c>
    </row>
    <row r="121" spans="1:15">
      <c r="A121" s="9" t="s">
        <v>492</v>
      </c>
      <c r="B121" s="9" t="s">
        <v>493</v>
      </c>
      <c r="C121" s="9" t="s">
        <v>20</v>
      </c>
      <c r="D121" s="9" t="s">
        <v>494</v>
      </c>
      <c r="E121" s="11" t="s">
        <v>495</v>
      </c>
      <c r="F121" s="9" t="s">
        <v>337</v>
      </c>
      <c r="G121" s="12"/>
      <c r="H121" s="12"/>
      <c r="I121" s="12"/>
      <c r="J121" s="13">
        <v>60</v>
      </c>
      <c r="K121" s="13">
        <v>63</v>
      </c>
      <c r="L121" s="13">
        <v>64</v>
      </c>
      <c r="M121" s="13">
        <v>66</v>
      </c>
      <c r="N121" s="14">
        <v>1.0666666666666667</v>
      </c>
      <c r="O121" s="14">
        <v>1.1000000000000001</v>
      </c>
    </row>
    <row r="122" spans="1:15">
      <c r="A122" s="33" t="s">
        <v>496</v>
      </c>
      <c r="B122" s="9" t="s">
        <v>497</v>
      </c>
      <c r="C122" s="9" t="s">
        <v>59</v>
      </c>
      <c r="D122" s="9" t="s">
        <v>498</v>
      </c>
      <c r="E122" s="11" t="s">
        <v>499</v>
      </c>
      <c r="F122" s="9" t="s">
        <v>337</v>
      </c>
      <c r="G122" s="12"/>
      <c r="H122" s="12"/>
      <c r="I122" s="12"/>
      <c r="J122" s="13">
        <v>69</v>
      </c>
      <c r="K122" s="13">
        <v>72</v>
      </c>
      <c r="L122" s="13">
        <v>73</v>
      </c>
      <c r="M122" s="13">
        <v>75</v>
      </c>
      <c r="N122" s="14">
        <v>1.2166666666666666</v>
      </c>
      <c r="O122" s="14">
        <v>1.25</v>
      </c>
    </row>
    <row r="123" spans="1:15">
      <c r="A123" s="9" t="s">
        <v>500</v>
      </c>
      <c r="B123" s="9" t="s">
        <v>501</v>
      </c>
      <c r="C123" s="9" t="s">
        <v>20</v>
      </c>
      <c r="D123" s="9" t="s">
        <v>502</v>
      </c>
      <c r="E123" s="11" t="s">
        <v>503</v>
      </c>
      <c r="F123" s="9" t="s">
        <v>337</v>
      </c>
      <c r="G123" s="12"/>
      <c r="H123" s="12"/>
      <c r="I123" s="12"/>
      <c r="J123" s="13">
        <v>67</v>
      </c>
      <c r="K123" s="13">
        <v>70</v>
      </c>
      <c r="L123" s="13">
        <v>71</v>
      </c>
      <c r="M123" s="13">
        <v>73</v>
      </c>
      <c r="N123" s="14">
        <v>1.1833333333333333</v>
      </c>
      <c r="O123" s="14">
        <v>1.2166666666666666</v>
      </c>
    </row>
    <row r="124" spans="1:15">
      <c r="A124" s="9" t="s">
        <v>504</v>
      </c>
      <c r="B124" s="10" t="s">
        <v>505</v>
      </c>
      <c r="C124" s="10" t="s">
        <v>164</v>
      </c>
      <c r="D124" s="10" t="s">
        <v>506</v>
      </c>
      <c r="E124" s="11" t="s">
        <v>507</v>
      </c>
      <c r="F124" s="9" t="s">
        <v>337</v>
      </c>
      <c r="G124" s="12"/>
      <c r="H124" s="12"/>
      <c r="I124" s="12"/>
      <c r="J124" s="13" t="e">
        <v>#N/A</v>
      </c>
      <c r="K124" s="13" t="e">
        <v>#N/A</v>
      </c>
      <c r="L124" s="13" t="e">
        <v>#N/A</v>
      </c>
      <c r="M124" s="13" t="e">
        <v>#N/A</v>
      </c>
      <c r="N124" s="14" t="e">
        <v>#N/A</v>
      </c>
      <c r="O124" s="14" t="e">
        <v>#N/A</v>
      </c>
    </row>
    <row r="125" spans="1:15">
      <c r="A125" s="9" t="s">
        <v>508</v>
      </c>
      <c r="B125" s="9" t="s">
        <v>509</v>
      </c>
      <c r="C125" s="9" t="s">
        <v>20</v>
      </c>
      <c r="D125" s="9" t="s">
        <v>510</v>
      </c>
      <c r="E125" s="11" t="s">
        <v>511</v>
      </c>
      <c r="F125" s="9" t="s">
        <v>337</v>
      </c>
      <c r="G125" s="12"/>
      <c r="H125" s="12"/>
      <c r="I125" s="12"/>
      <c r="J125" s="13">
        <v>60</v>
      </c>
      <c r="K125" s="13">
        <v>63</v>
      </c>
      <c r="L125" s="13">
        <v>64</v>
      </c>
      <c r="M125" s="13">
        <v>66</v>
      </c>
      <c r="N125" s="14">
        <v>1.0666666666666667</v>
      </c>
      <c r="O125" s="14">
        <v>1.1000000000000001</v>
      </c>
    </row>
    <row r="126" spans="1:15">
      <c r="A126" s="9" t="s">
        <v>512</v>
      </c>
      <c r="B126" s="9" t="s">
        <v>513</v>
      </c>
      <c r="C126" s="9" t="s">
        <v>20</v>
      </c>
      <c r="D126" s="9" t="s">
        <v>514</v>
      </c>
      <c r="E126" s="11" t="s">
        <v>515</v>
      </c>
      <c r="F126" s="9" t="s">
        <v>337</v>
      </c>
      <c r="G126" s="12"/>
      <c r="H126" s="12"/>
      <c r="I126" s="12"/>
      <c r="J126" s="13">
        <v>63</v>
      </c>
      <c r="K126" s="13">
        <v>66</v>
      </c>
      <c r="L126" s="13">
        <v>67</v>
      </c>
      <c r="M126" s="13">
        <v>69</v>
      </c>
      <c r="N126" s="14">
        <v>1.1166666666666667</v>
      </c>
      <c r="O126" s="14">
        <v>1.1499999999999999</v>
      </c>
    </row>
    <row r="127" spans="1:15">
      <c r="A127" s="9" t="s">
        <v>516</v>
      </c>
      <c r="B127" s="9" t="s">
        <v>517</v>
      </c>
      <c r="C127" s="9" t="s">
        <v>20</v>
      </c>
      <c r="D127" s="9" t="s">
        <v>518</v>
      </c>
      <c r="E127" s="11" t="s">
        <v>519</v>
      </c>
      <c r="F127" s="9" t="s">
        <v>337</v>
      </c>
      <c r="G127" s="12"/>
      <c r="H127" s="12"/>
      <c r="I127" s="12"/>
      <c r="J127" s="13">
        <v>60</v>
      </c>
      <c r="K127" s="13">
        <v>63</v>
      </c>
      <c r="L127" s="13">
        <v>64</v>
      </c>
      <c r="M127" s="13">
        <v>66</v>
      </c>
      <c r="N127" s="14">
        <v>1.0666666666666667</v>
      </c>
      <c r="O127" s="14">
        <v>1.1000000000000001</v>
      </c>
    </row>
    <row r="128" spans="1:15">
      <c r="A128" s="9" t="s">
        <v>520</v>
      </c>
      <c r="B128" s="9" t="s">
        <v>521</v>
      </c>
      <c r="C128" s="9" t="s">
        <v>20</v>
      </c>
      <c r="D128" s="9" t="s">
        <v>522</v>
      </c>
      <c r="E128" s="11" t="s">
        <v>523</v>
      </c>
      <c r="F128" s="9" t="s">
        <v>337</v>
      </c>
      <c r="G128" s="12"/>
      <c r="H128" s="12"/>
      <c r="I128" s="12"/>
      <c r="J128" s="13" t="e">
        <v>#N/A</v>
      </c>
      <c r="K128" s="13" t="e">
        <v>#N/A</v>
      </c>
      <c r="L128" s="13" t="e">
        <v>#N/A</v>
      </c>
      <c r="M128" s="13" t="e">
        <v>#N/A</v>
      </c>
      <c r="N128" s="14" t="e">
        <v>#N/A</v>
      </c>
      <c r="O128" s="14" t="e">
        <v>#N/A</v>
      </c>
    </row>
    <row r="129" spans="1:15">
      <c r="A129" s="9" t="s">
        <v>524</v>
      </c>
      <c r="B129" s="9" t="s">
        <v>525</v>
      </c>
      <c r="C129" s="9" t="s">
        <v>20</v>
      </c>
      <c r="D129" s="9" t="s">
        <v>526</v>
      </c>
      <c r="E129" s="11" t="s">
        <v>527</v>
      </c>
      <c r="F129" s="9" t="s">
        <v>337</v>
      </c>
      <c r="G129" s="12"/>
      <c r="H129" s="12"/>
      <c r="I129" s="12"/>
      <c r="J129" s="13">
        <v>67</v>
      </c>
      <c r="K129" s="13">
        <v>70</v>
      </c>
      <c r="L129" s="13">
        <v>71</v>
      </c>
      <c r="M129" s="13">
        <v>73</v>
      </c>
      <c r="N129" s="14">
        <v>1.1833333333333333</v>
      </c>
      <c r="O129" s="14">
        <v>1.2166666666666666</v>
      </c>
    </row>
    <row r="130" spans="1:15">
      <c r="A130" s="9" t="s">
        <v>528</v>
      </c>
      <c r="B130" s="9" t="s">
        <v>529</v>
      </c>
      <c r="C130" s="9" t="s">
        <v>20</v>
      </c>
      <c r="D130" s="9" t="s">
        <v>530</v>
      </c>
      <c r="E130" s="11" t="s">
        <v>531</v>
      </c>
      <c r="F130" s="9" t="s">
        <v>337</v>
      </c>
      <c r="G130" s="12"/>
      <c r="H130" s="12"/>
      <c r="I130" s="12"/>
      <c r="J130" s="13">
        <v>60</v>
      </c>
      <c r="K130" s="13">
        <v>63</v>
      </c>
      <c r="L130" s="13">
        <v>64</v>
      </c>
      <c r="M130" s="13">
        <v>66</v>
      </c>
      <c r="N130" s="14">
        <v>1.0666666666666667</v>
      </c>
      <c r="O130" s="14">
        <v>1.1000000000000001</v>
      </c>
    </row>
    <row r="131" spans="1:15">
      <c r="A131" s="9" t="s">
        <v>532</v>
      </c>
      <c r="B131" s="9" t="s">
        <v>533</v>
      </c>
      <c r="C131" s="9" t="s">
        <v>20</v>
      </c>
      <c r="D131" s="9" t="s">
        <v>534</v>
      </c>
      <c r="E131" s="11" t="s">
        <v>535</v>
      </c>
      <c r="F131" s="9" t="s">
        <v>337</v>
      </c>
      <c r="G131" s="12"/>
      <c r="H131" s="12"/>
      <c r="I131" s="12"/>
      <c r="J131" s="13">
        <v>60</v>
      </c>
      <c r="K131" s="13">
        <v>63</v>
      </c>
      <c r="L131" s="13">
        <v>64</v>
      </c>
      <c r="M131" s="13">
        <v>66</v>
      </c>
      <c r="N131" s="14">
        <v>1.0666666666666667</v>
      </c>
      <c r="O131" s="14">
        <v>1.1000000000000001</v>
      </c>
    </row>
    <row r="132" spans="1:15">
      <c r="A132" s="9" t="s">
        <v>536</v>
      </c>
      <c r="B132" s="9" t="s">
        <v>537</v>
      </c>
      <c r="C132" s="9" t="s">
        <v>20</v>
      </c>
      <c r="D132" s="9" t="s">
        <v>538</v>
      </c>
      <c r="E132" s="11" t="s">
        <v>539</v>
      </c>
      <c r="F132" s="9" t="s">
        <v>337</v>
      </c>
      <c r="G132" s="12"/>
      <c r="H132" s="12"/>
      <c r="I132" s="12"/>
      <c r="J132" s="13">
        <v>63</v>
      </c>
      <c r="K132" s="13">
        <v>66</v>
      </c>
      <c r="L132" s="13">
        <v>67</v>
      </c>
      <c r="M132" s="13">
        <v>69</v>
      </c>
      <c r="N132" s="14">
        <v>1.1166666666666667</v>
      </c>
      <c r="O132" s="14">
        <v>1.1499999999999999</v>
      </c>
    </row>
    <row r="133" spans="1:15">
      <c r="A133" s="33" t="s">
        <v>540</v>
      </c>
      <c r="B133" s="9" t="s">
        <v>541</v>
      </c>
      <c r="C133" s="9" t="s">
        <v>20</v>
      </c>
      <c r="D133" s="9" t="s">
        <v>542</v>
      </c>
      <c r="E133" s="11" t="s">
        <v>543</v>
      </c>
      <c r="F133" s="9" t="s">
        <v>337</v>
      </c>
      <c r="G133" s="12"/>
      <c r="H133" s="12"/>
      <c r="I133" s="12"/>
      <c r="J133" s="13">
        <v>60</v>
      </c>
      <c r="K133" s="13">
        <v>63</v>
      </c>
      <c r="L133" s="13">
        <v>64</v>
      </c>
      <c r="M133" s="13">
        <v>66</v>
      </c>
      <c r="N133" s="14">
        <v>1.0666666666666667</v>
      </c>
      <c r="O133" s="14">
        <v>1.1000000000000001</v>
      </c>
    </row>
    <row r="134" spans="1:15">
      <c r="A134" s="9" t="s">
        <v>544</v>
      </c>
      <c r="B134" s="9" t="s">
        <v>545</v>
      </c>
      <c r="C134" s="9" t="s">
        <v>20</v>
      </c>
      <c r="D134" s="9" t="s">
        <v>546</v>
      </c>
      <c r="E134" s="11" t="s">
        <v>547</v>
      </c>
      <c r="F134" s="9" t="s">
        <v>337</v>
      </c>
      <c r="G134" s="12"/>
      <c r="H134" s="12"/>
      <c r="I134" s="12"/>
      <c r="J134" s="13">
        <v>67</v>
      </c>
      <c r="K134" s="13">
        <v>70</v>
      </c>
      <c r="L134" s="13">
        <v>71</v>
      </c>
      <c r="M134" s="13">
        <v>73</v>
      </c>
      <c r="N134" s="14">
        <v>1.1833333333333333</v>
      </c>
      <c r="O134" s="14">
        <v>1.2166666666666666</v>
      </c>
    </row>
    <row r="135" spans="1:15">
      <c r="A135" s="9" t="s">
        <v>548</v>
      </c>
      <c r="B135" s="9" t="s">
        <v>549</v>
      </c>
      <c r="C135" s="9" t="s">
        <v>20</v>
      </c>
      <c r="D135" s="9" t="s">
        <v>550</v>
      </c>
      <c r="E135" s="11" t="s">
        <v>551</v>
      </c>
      <c r="F135" s="9" t="s">
        <v>337</v>
      </c>
      <c r="G135" s="12"/>
      <c r="H135" s="12"/>
      <c r="I135" s="12"/>
      <c r="J135" s="13">
        <v>67</v>
      </c>
      <c r="K135" s="13">
        <v>70</v>
      </c>
      <c r="L135" s="13">
        <v>71</v>
      </c>
      <c r="M135" s="13">
        <v>73</v>
      </c>
      <c r="N135" s="14">
        <v>1.1833333333333333</v>
      </c>
      <c r="O135" s="14">
        <v>1.2166666666666666</v>
      </c>
    </row>
    <row r="136" spans="1:15">
      <c r="A136" s="9" t="s">
        <v>552</v>
      </c>
      <c r="B136" s="9" t="s">
        <v>553</v>
      </c>
      <c r="C136" s="9" t="s">
        <v>164</v>
      </c>
      <c r="D136" s="10" t="s">
        <v>554</v>
      </c>
      <c r="E136" s="11" t="s">
        <v>555</v>
      </c>
      <c r="F136" s="9" t="s">
        <v>337</v>
      </c>
      <c r="G136" s="12"/>
      <c r="H136" s="12"/>
      <c r="I136" s="12"/>
      <c r="J136" s="13">
        <v>60</v>
      </c>
      <c r="K136" s="13">
        <v>63</v>
      </c>
      <c r="L136" s="13">
        <v>64</v>
      </c>
      <c r="M136" s="13">
        <v>66</v>
      </c>
      <c r="N136" s="14">
        <v>1.0666666666666667</v>
      </c>
      <c r="O136" s="14">
        <v>1.1000000000000001</v>
      </c>
    </row>
    <row r="137" spans="1:15">
      <c r="A137" s="16" t="s">
        <v>556</v>
      </c>
      <c r="B137" s="10" t="s">
        <v>557</v>
      </c>
      <c r="C137" s="10"/>
      <c r="D137" s="10" t="s">
        <v>558</v>
      </c>
      <c r="E137" s="11" t="s">
        <v>559</v>
      </c>
      <c r="F137" s="10" t="s">
        <v>337</v>
      </c>
      <c r="G137" s="12"/>
      <c r="H137" s="12"/>
      <c r="I137" s="12"/>
      <c r="J137" s="12" t="e">
        <v>#N/A</v>
      </c>
      <c r="K137" s="13" t="e">
        <v>#N/A</v>
      </c>
      <c r="L137" s="13" t="e">
        <v>#N/A</v>
      </c>
      <c r="M137" s="13" t="e">
        <v>#N/A</v>
      </c>
      <c r="N137" s="14" t="e">
        <v>#N/A</v>
      </c>
      <c r="O137" s="14" t="e">
        <v>#N/A</v>
      </c>
    </row>
    <row r="138" spans="1:15">
      <c r="A138" s="16" t="s">
        <v>560</v>
      </c>
      <c r="B138" s="10" t="s">
        <v>561</v>
      </c>
      <c r="C138" s="10"/>
      <c r="D138" s="10" t="s">
        <v>562</v>
      </c>
      <c r="E138" s="11" t="s">
        <v>563</v>
      </c>
      <c r="F138" s="10" t="s">
        <v>337</v>
      </c>
      <c r="G138" s="12"/>
      <c r="H138" s="12"/>
      <c r="I138" s="12"/>
      <c r="J138" s="12">
        <v>60</v>
      </c>
      <c r="K138" s="13">
        <v>63</v>
      </c>
      <c r="L138" s="13">
        <v>64</v>
      </c>
      <c r="M138" s="13">
        <v>66</v>
      </c>
      <c r="N138" s="14">
        <v>1.0666666666666667</v>
      </c>
      <c r="O138" s="14">
        <v>1.1000000000000001</v>
      </c>
    </row>
    <row r="139" spans="1:15">
      <c r="A139" s="10" t="s">
        <v>564</v>
      </c>
      <c r="B139" s="10" t="s">
        <v>565</v>
      </c>
      <c r="C139" s="10" t="s">
        <v>92</v>
      </c>
      <c r="D139" s="10" t="s">
        <v>566</v>
      </c>
      <c r="E139" s="11" t="e">
        <v>#N/A</v>
      </c>
      <c r="F139" s="9" t="s">
        <v>567</v>
      </c>
      <c r="G139" s="12"/>
      <c r="H139" s="12"/>
      <c r="I139" s="12"/>
      <c r="J139" s="13">
        <v>69</v>
      </c>
      <c r="K139" s="13">
        <v>72</v>
      </c>
      <c r="L139" s="13">
        <v>74</v>
      </c>
      <c r="M139" s="13">
        <v>75</v>
      </c>
      <c r="N139" s="14">
        <v>1.2333333333333334</v>
      </c>
      <c r="O139" s="14">
        <v>1.25</v>
      </c>
    </row>
    <row r="140" spans="1:15">
      <c r="A140" s="9" t="s">
        <v>568</v>
      </c>
      <c r="B140" s="9" t="s">
        <v>569</v>
      </c>
      <c r="C140" s="9" t="s">
        <v>20</v>
      </c>
      <c r="D140" s="9" t="s">
        <v>570</v>
      </c>
      <c r="E140" s="11" t="s">
        <v>571</v>
      </c>
      <c r="F140" s="9" t="s">
        <v>567</v>
      </c>
      <c r="G140" s="12"/>
      <c r="H140" s="12"/>
      <c r="I140" s="12"/>
      <c r="J140" s="13" t="e">
        <v>#N/A</v>
      </c>
      <c r="K140" s="13" t="e">
        <v>#N/A</v>
      </c>
      <c r="L140" s="13" t="e">
        <v>#N/A</v>
      </c>
      <c r="M140" s="13" t="e">
        <v>#N/A</v>
      </c>
      <c r="N140" s="14" t="e">
        <v>#N/A</v>
      </c>
      <c r="O140" s="14" t="e">
        <v>#N/A</v>
      </c>
    </row>
    <row r="141" spans="1:15">
      <c r="A141" s="9" t="s">
        <v>572</v>
      </c>
      <c r="B141" s="10" t="s">
        <v>573</v>
      </c>
      <c r="C141" s="10" t="s">
        <v>30</v>
      </c>
      <c r="D141" s="10" t="s">
        <v>574</v>
      </c>
      <c r="E141" s="11" t="s">
        <v>575</v>
      </c>
      <c r="F141" s="9" t="s">
        <v>567</v>
      </c>
      <c r="G141" s="12"/>
      <c r="H141" s="12"/>
      <c r="I141" s="12"/>
      <c r="J141" s="13">
        <v>61</v>
      </c>
      <c r="K141" s="13">
        <v>64</v>
      </c>
      <c r="L141" s="13">
        <v>65</v>
      </c>
      <c r="M141" s="13">
        <v>67</v>
      </c>
      <c r="N141" s="14">
        <v>1.0833333333333333</v>
      </c>
      <c r="O141" s="14">
        <v>1.1166666666666667</v>
      </c>
    </row>
    <row r="142" spans="1:15">
      <c r="A142" s="9" t="s">
        <v>576</v>
      </c>
      <c r="B142" s="9" t="s">
        <v>577</v>
      </c>
      <c r="C142" s="9" t="s">
        <v>20</v>
      </c>
      <c r="D142" s="9" t="s">
        <v>578</v>
      </c>
      <c r="E142" s="11" t="s">
        <v>579</v>
      </c>
      <c r="F142" s="9" t="s">
        <v>567</v>
      </c>
      <c r="G142" s="12"/>
      <c r="H142" s="12"/>
      <c r="I142" s="12"/>
      <c r="J142" s="13">
        <v>69</v>
      </c>
      <c r="K142" s="13">
        <v>72</v>
      </c>
      <c r="L142" s="13">
        <v>74</v>
      </c>
      <c r="M142" s="13">
        <v>75</v>
      </c>
      <c r="N142" s="14">
        <v>1.2333333333333334</v>
      </c>
      <c r="O142" s="14">
        <v>1.25</v>
      </c>
    </row>
    <row r="143" spans="1:15">
      <c r="A143" s="9" t="s">
        <v>580</v>
      </c>
      <c r="B143" s="34" t="s">
        <v>581</v>
      </c>
      <c r="C143" s="9" t="s">
        <v>368</v>
      </c>
      <c r="D143" s="9" t="s">
        <v>582</v>
      </c>
      <c r="E143" s="11" t="s">
        <v>583</v>
      </c>
      <c r="F143" s="9" t="s">
        <v>567</v>
      </c>
      <c r="G143" s="12"/>
      <c r="H143" s="12"/>
      <c r="I143" s="12"/>
      <c r="J143" s="13">
        <v>68</v>
      </c>
      <c r="K143" s="13">
        <v>71</v>
      </c>
      <c r="L143" s="13">
        <v>73</v>
      </c>
      <c r="M143" s="13">
        <v>74</v>
      </c>
      <c r="N143" s="14">
        <v>1.2166666666666666</v>
      </c>
      <c r="O143" s="14">
        <v>1.2333333333333334</v>
      </c>
    </row>
    <row r="144" spans="1:15">
      <c r="A144" s="9" t="s">
        <v>584</v>
      </c>
      <c r="B144" s="9" t="s">
        <v>585</v>
      </c>
      <c r="C144" s="9" t="s">
        <v>20</v>
      </c>
      <c r="D144" s="9" t="s">
        <v>586</v>
      </c>
      <c r="E144" s="11" t="s">
        <v>587</v>
      </c>
      <c r="F144" s="9" t="s">
        <v>567</v>
      </c>
      <c r="G144" s="12"/>
      <c r="H144" s="12"/>
      <c r="I144" s="12"/>
      <c r="J144" s="13">
        <v>62</v>
      </c>
      <c r="K144" s="13">
        <v>65</v>
      </c>
      <c r="L144" s="13">
        <v>66</v>
      </c>
      <c r="M144" s="13">
        <v>68</v>
      </c>
      <c r="N144" s="14">
        <v>1.1000000000000001</v>
      </c>
      <c r="O144" s="14">
        <v>1.1333333333333333</v>
      </c>
    </row>
    <row r="145" spans="1:15">
      <c r="A145" s="9" t="s">
        <v>588</v>
      </c>
      <c r="B145" s="9" t="s">
        <v>589</v>
      </c>
      <c r="C145" s="9" t="s">
        <v>20</v>
      </c>
      <c r="D145" s="9" t="s">
        <v>590</v>
      </c>
      <c r="E145" s="11" t="s">
        <v>591</v>
      </c>
      <c r="F145" s="9" t="s">
        <v>567</v>
      </c>
      <c r="G145" s="12"/>
      <c r="H145" s="12"/>
      <c r="I145" s="12"/>
      <c r="J145" s="13" t="e">
        <v>#N/A</v>
      </c>
      <c r="K145" s="13" t="e">
        <v>#N/A</v>
      </c>
      <c r="L145" s="13" t="e">
        <v>#N/A</v>
      </c>
      <c r="M145" s="13" t="e">
        <v>#N/A</v>
      </c>
      <c r="N145" s="14" t="e">
        <v>#N/A</v>
      </c>
      <c r="O145" s="14" t="e">
        <v>#N/A</v>
      </c>
    </row>
    <row r="146" spans="1:15">
      <c r="A146" s="9" t="s">
        <v>592</v>
      </c>
      <c r="B146" s="9" t="s">
        <v>593</v>
      </c>
      <c r="C146" s="9" t="s">
        <v>164</v>
      </c>
      <c r="D146" s="9" t="s">
        <v>594</v>
      </c>
      <c r="E146" s="11" t="s">
        <v>595</v>
      </c>
      <c r="F146" s="9" t="s">
        <v>567</v>
      </c>
      <c r="G146" s="12"/>
      <c r="H146" s="12"/>
      <c r="I146" s="12"/>
      <c r="J146" s="13" t="e">
        <v>#N/A</v>
      </c>
      <c r="K146" s="13" t="e">
        <v>#N/A</v>
      </c>
      <c r="L146" s="13" t="e">
        <v>#N/A</v>
      </c>
      <c r="M146" s="13" t="e">
        <v>#N/A</v>
      </c>
      <c r="N146" s="14" t="e">
        <v>#N/A</v>
      </c>
      <c r="O146" s="14" t="e">
        <v>#N/A</v>
      </c>
    </row>
    <row r="147" spans="1:15">
      <c r="A147" s="9" t="s">
        <v>596</v>
      </c>
      <c r="B147" s="9" t="s">
        <v>597</v>
      </c>
      <c r="C147" s="9" t="s">
        <v>30</v>
      </c>
      <c r="D147" s="9" t="s">
        <v>598</v>
      </c>
      <c r="E147" s="11" t="s">
        <v>599</v>
      </c>
      <c r="F147" s="9" t="s">
        <v>567</v>
      </c>
      <c r="G147" s="12"/>
      <c r="H147" s="12"/>
      <c r="I147" s="12"/>
      <c r="J147" s="13" t="e">
        <v>#N/A</v>
      </c>
      <c r="K147" s="13" t="e">
        <v>#N/A</v>
      </c>
      <c r="L147" s="13" t="e">
        <v>#N/A</v>
      </c>
      <c r="M147" s="13" t="e">
        <v>#N/A</v>
      </c>
      <c r="N147" s="14" t="e">
        <v>#N/A</v>
      </c>
      <c r="O147" s="14" t="e">
        <v>#N/A</v>
      </c>
    </row>
    <row r="148" spans="1:15">
      <c r="A148" s="9" t="s">
        <v>600</v>
      </c>
      <c r="B148" s="9" t="s">
        <v>601</v>
      </c>
      <c r="C148" s="9" t="s">
        <v>20</v>
      </c>
      <c r="D148" s="9" t="s">
        <v>602</v>
      </c>
      <c r="E148" s="11" t="s">
        <v>603</v>
      </c>
      <c r="F148" s="9" t="s">
        <v>567</v>
      </c>
      <c r="G148" s="12"/>
      <c r="H148" s="12"/>
      <c r="I148" s="12"/>
      <c r="J148" s="13">
        <v>63</v>
      </c>
      <c r="K148" s="13">
        <v>66</v>
      </c>
      <c r="L148" s="13">
        <v>67</v>
      </c>
      <c r="M148" s="13">
        <v>69</v>
      </c>
      <c r="N148" s="14">
        <v>1.1166666666666667</v>
      </c>
      <c r="O148" s="14">
        <v>1.1499999999999999</v>
      </c>
    </row>
    <row r="149" spans="1:15">
      <c r="A149" s="9" t="s">
        <v>604</v>
      </c>
      <c r="B149" s="9" t="s">
        <v>605</v>
      </c>
      <c r="C149" s="9" t="s">
        <v>20</v>
      </c>
      <c r="D149" s="9" t="s">
        <v>606</v>
      </c>
      <c r="E149" s="11" t="s">
        <v>607</v>
      </c>
      <c r="F149" s="9" t="s">
        <v>567</v>
      </c>
      <c r="G149" s="12"/>
      <c r="H149" s="12"/>
      <c r="I149" s="12"/>
      <c r="J149" s="13">
        <v>63</v>
      </c>
      <c r="K149" s="13">
        <v>66</v>
      </c>
      <c r="L149" s="13">
        <v>67</v>
      </c>
      <c r="M149" s="13">
        <v>69</v>
      </c>
      <c r="N149" s="14">
        <v>1.1166666666666667</v>
      </c>
      <c r="O149" s="14">
        <v>1.1499999999999999</v>
      </c>
    </row>
    <row r="150" spans="1:15">
      <c r="A150" s="9" t="s">
        <v>608</v>
      </c>
      <c r="B150" s="9" t="s">
        <v>609</v>
      </c>
      <c r="C150" s="9" t="s">
        <v>20</v>
      </c>
      <c r="D150" s="9" t="s">
        <v>610</v>
      </c>
      <c r="E150" s="11" t="s">
        <v>611</v>
      </c>
      <c r="F150" s="9" t="s">
        <v>567</v>
      </c>
      <c r="G150" s="12"/>
      <c r="H150" s="12"/>
      <c r="I150" s="12"/>
      <c r="J150" s="13">
        <v>69</v>
      </c>
      <c r="K150" s="13">
        <v>72</v>
      </c>
      <c r="L150" s="13">
        <v>74</v>
      </c>
      <c r="M150" s="13">
        <v>75</v>
      </c>
      <c r="N150" s="14">
        <v>1.2333333333333334</v>
      </c>
      <c r="O150" s="14">
        <v>1.25</v>
      </c>
    </row>
    <row r="151" spans="1:15">
      <c r="A151" s="9" t="s">
        <v>612</v>
      </c>
      <c r="B151" s="9" t="s">
        <v>613</v>
      </c>
      <c r="C151" s="9" t="s">
        <v>20</v>
      </c>
      <c r="D151" s="9" t="s">
        <v>614</v>
      </c>
      <c r="E151" s="11" t="s">
        <v>615</v>
      </c>
      <c r="F151" s="9" t="s">
        <v>567</v>
      </c>
      <c r="G151" s="12"/>
      <c r="H151" s="12"/>
      <c r="I151" s="12"/>
      <c r="J151" s="13">
        <v>63</v>
      </c>
      <c r="K151" s="13">
        <v>66</v>
      </c>
      <c r="L151" s="13">
        <v>67</v>
      </c>
      <c r="M151" s="13">
        <v>69</v>
      </c>
      <c r="N151" s="14">
        <v>1.1166666666666667</v>
      </c>
      <c r="O151" s="14">
        <v>1.1499999999999999</v>
      </c>
    </row>
    <row r="152" spans="1:15">
      <c r="A152" s="9" t="s">
        <v>616</v>
      </c>
      <c r="B152" s="9" t="s">
        <v>617</v>
      </c>
      <c r="C152" s="9" t="s">
        <v>20</v>
      </c>
      <c r="D152" s="9" t="s">
        <v>618</v>
      </c>
      <c r="E152" s="11" t="s">
        <v>619</v>
      </c>
      <c r="F152" s="9" t="s">
        <v>567</v>
      </c>
      <c r="G152" s="12"/>
      <c r="H152" s="12"/>
      <c r="I152" s="12"/>
      <c r="J152" s="13">
        <v>63</v>
      </c>
      <c r="K152" s="13">
        <v>66</v>
      </c>
      <c r="L152" s="13">
        <v>67</v>
      </c>
      <c r="M152" s="13">
        <v>69</v>
      </c>
      <c r="N152" s="14">
        <v>1.1166666666666667</v>
      </c>
      <c r="O152" s="14">
        <v>1.1499999999999999</v>
      </c>
    </row>
    <row r="153" spans="1:15">
      <c r="A153" s="9" t="s">
        <v>620</v>
      </c>
      <c r="B153" s="9" t="s">
        <v>621</v>
      </c>
      <c r="C153" s="9" t="s">
        <v>20</v>
      </c>
      <c r="D153" s="9" t="s">
        <v>622</v>
      </c>
      <c r="E153" s="11" t="s">
        <v>623</v>
      </c>
      <c r="F153" s="9" t="s">
        <v>567</v>
      </c>
      <c r="G153" s="12"/>
      <c r="H153" s="12"/>
      <c r="I153" s="12"/>
      <c r="J153" s="13">
        <v>62</v>
      </c>
      <c r="K153" s="13">
        <v>65</v>
      </c>
      <c r="L153" s="13">
        <v>66</v>
      </c>
      <c r="M153" s="13">
        <v>68</v>
      </c>
      <c r="N153" s="14">
        <v>1.1000000000000001</v>
      </c>
      <c r="O153" s="14">
        <v>1.1333333333333333</v>
      </c>
    </row>
    <row r="154" spans="1:15">
      <c r="A154" s="10" t="s">
        <v>624</v>
      </c>
      <c r="B154" s="10" t="s">
        <v>625</v>
      </c>
      <c r="C154" s="10" t="s">
        <v>92</v>
      </c>
      <c r="D154" s="10" t="s">
        <v>626</v>
      </c>
      <c r="E154" s="11" t="s">
        <v>627</v>
      </c>
      <c r="F154" s="9" t="s">
        <v>567</v>
      </c>
      <c r="G154" s="12"/>
      <c r="H154" s="12"/>
      <c r="I154" s="12"/>
      <c r="J154" s="13">
        <v>63</v>
      </c>
      <c r="K154" s="13">
        <v>66</v>
      </c>
      <c r="L154" s="13">
        <v>67</v>
      </c>
      <c r="M154" s="13">
        <v>69</v>
      </c>
      <c r="N154" s="14">
        <v>1.1166666666666667</v>
      </c>
      <c r="O154" s="14">
        <v>1.1499999999999999</v>
      </c>
    </row>
    <row r="155" spans="1:15">
      <c r="A155" s="9" t="s">
        <v>628</v>
      </c>
      <c r="B155" s="10" t="s">
        <v>629</v>
      </c>
      <c r="C155" s="10" t="s">
        <v>20</v>
      </c>
      <c r="D155" s="10" t="s">
        <v>630</v>
      </c>
      <c r="E155" s="11" t="s">
        <v>631</v>
      </c>
      <c r="F155" s="9" t="s">
        <v>567</v>
      </c>
      <c r="G155" s="12"/>
      <c r="H155" s="12"/>
      <c r="I155" s="12"/>
      <c r="J155" s="13">
        <v>62</v>
      </c>
      <c r="K155" s="13">
        <v>65</v>
      </c>
      <c r="L155" s="13">
        <v>66</v>
      </c>
      <c r="M155" s="13">
        <v>68</v>
      </c>
      <c r="N155" s="14">
        <v>1.1000000000000001</v>
      </c>
      <c r="O155" s="14">
        <v>1.1333333333333333</v>
      </c>
    </row>
    <row r="156" spans="1:15">
      <c r="A156" s="10" t="s">
        <v>632</v>
      </c>
      <c r="B156" s="10" t="s">
        <v>633</v>
      </c>
      <c r="C156" s="10" t="s">
        <v>92</v>
      </c>
      <c r="D156" s="10" t="s">
        <v>634</v>
      </c>
      <c r="E156" s="11" t="s">
        <v>635</v>
      </c>
      <c r="F156" s="9" t="s">
        <v>567</v>
      </c>
      <c r="G156" s="12"/>
      <c r="H156" s="12"/>
      <c r="I156" s="12"/>
      <c r="J156" s="13">
        <v>63</v>
      </c>
      <c r="K156" s="13">
        <v>66</v>
      </c>
      <c r="L156" s="13">
        <v>67</v>
      </c>
      <c r="M156" s="13">
        <v>69</v>
      </c>
      <c r="N156" s="14">
        <v>1.1166666666666667</v>
      </c>
      <c r="O156" s="14">
        <v>1.1499999999999999</v>
      </c>
    </row>
    <row r="157" spans="1:15">
      <c r="A157" s="9" t="s">
        <v>636</v>
      </c>
      <c r="B157" s="9" t="s">
        <v>637</v>
      </c>
      <c r="C157" s="9" t="s">
        <v>20</v>
      </c>
      <c r="D157" s="9" t="s">
        <v>638</v>
      </c>
      <c r="E157" s="11" t="s">
        <v>639</v>
      </c>
      <c r="F157" s="9" t="s">
        <v>567</v>
      </c>
      <c r="G157" s="12"/>
      <c r="H157" s="12"/>
      <c r="I157" s="12"/>
      <c r="J157" s="13">
        <v>63</v>
      </c>
      <c r="K157" s="13">
        <v>66</v>
      </c>
      <c r="L157" s="13">
        <v>67</v>
      </c>
      <c r="M157" s="13">
        <v>69</v>
      </c>
      <c r="N157" s="14">
        <v>1.1166666666666667</v>
      </c>
      <c r="O157" s="14">
        <v>1.1499999999999999</v>
      </c>
    </row>
    <row r="158" spans="1:15">
      <c r="A158" s="9" t="s">
        <v>640</v>
      </c>
      <c r="B158" s="9" t="s">
        <v>641</v>
      </c>
      <c r="C158" s="9" t="s">
        <v>20</v>
      </c>
      <c r="D158" s="9" t="s">
        <v>642</v>
      </c>
      <c r="E158" s="11" t="s">
        <v>643</v>
      </c>
      <c r="F158" s="9" t="s">
        <v>567</v>
      </c>
      <c r="G158" s="12"/>
      <c r="H158" s="12"/>
      <c r="I158" s="12"/>
      <c r="J158" s="13">
        <v>69</v>
      </c>
      <c r="K158" s="13">
        <v>72</v>
      </c>
      <c r="L158" s="13">
        <v>74</v>
      </c>
      <c r="M158" s="13">
        <v>75</v>
      </c>
      <c r="N158" s="14">
        <v>1.2333333333333334</v>
      </c>
      <c r="O158" s="14">
        <v>1.25</v>
      </c>
    </row>
    <row r="159" spans="1:15">
      <c r="A159" s="9" t="s">
        <v>644</v>
      </c>
      <c r="B159" s="9" t="s">
        <v>645</v>
      </c>
      <c r="C159" s="9" t="s">
        <v>20</v>
      </c>
      <c r="D159" s="9" t="s">
        <v>646</v>
      </c>
      <c r="E159" s="11" t="s">
        <v>647</v>
      </c>
      <c r="F159" s="9" t="s">
        <v>567</v>
      </c>
      <c r="G159" s="12"/>
      <c r="H159" s="12"/>
      <c r="I159" s="12"/>
      <c r="J159" s="13" t="e">
        <v>#N/A</v>
      </c>
      <c r="K159" s="13" t="e">
        <v>#N/A</v>
      </c>
      <c r="L159" s="13" t="e">
        <v>#N/A</v>
      </c>
      <c r="M159" s="13" t="e">
        <v>#N/A</v>
      </c>
      <c r="N159" s="14" t="e">
        <v>#N/A</v>
      </c>
      <c r="O159" s="14" t="e">
        <v>#N/A</v>
      </c>
    </row>
    <row r="160" spans="1:15">
      <c r="A160" s="9" t="s">
        <v>648</v>
      </c>
      <c r="B160" s="10" t="s">
        <v>649</v>
      </c>
      <c r="C160" s="10" t="s">
        <v>164</v>
      </c>
      <c r="D160" s="10" t="s">
        <v>650</v>
      </c>
      <c r="E160" s="11" t="s">
        <v>651</v>
      </c>
      <c r="F160" s="9" t="s">
        <v>567</v>
      </c>
      <c r="G160" s="12"/>
      <c r="H160" s="12"/>
      <c r="I160" s="12"/>
      <c r="J160" s="13">
        <v>66</v>
      </c>
      <c r="K160" s="13">
        <v>69</v>
      </c>
      <c r="L160" s="13">
        <v>70</v>
      </c>
      <c r="M160" s="13">
        <v>72</v>
      </c>
      <c r="N160" s="14">
        <v>1.1666666666666667</v>
      </c>
      <c r="O160" s="14">
        <v>1.2</v>
      </c>
    </row>
    <row r="161" spans="1:15">
      <c r="A161" s="9" t="s">
        <v>652</v>
      </c>
      <c r="B161" s="10" t="s">
        <v>653</v>
      </c>
      <c r="C161" s="10" t="s">
        <v>20</v>
      </c>
      <c r="D161" s="10" t="s">
        <v>654</v>
      </c>
      <c r="E161" s="11" t="s">
        <v>655</v>
      </c>
      <c r="F161" s="9" t="s">
        <v>567</v>
      </c>
      <c r="G161" s="12"/>
      <c r="H161" s="12"/>
      <c r="I161" s="12"/>
      <c r="J161" s="13">
        <v>69</v>
      </c>
      <c r="K161" s="13">
        <v>72</v>
      </c>
      <c r="L161" s="13">
        <v>74</v>
      </c>
      <c r="M161" s="13">
        <v>75</v>
      </c>
      <c r="N161" s="14">
        <v>1.2333333333333334</v>
      </c>
      <c r="O161" s="14">
        <v>1.25</v>
      </c>
    </row>
    <row r="162" spans="1:15">
      <c r="A162" s="9" t="s">
        <v>656</v>
      </c>
      <c r="B162" s="10" t="s">
        <v>657</v>
      </c>
      <c r="C162" s="10" t="s">
        <v>368</v>
      </c>
      <c r="D162" s="10" t="s">
        <v>658</v>
      </c>
      <c r="E162" s="11" t="s">
        <v>659</v>
      </c>
      <c r="F162" s="9" t="s">
        <v>567</v>
      </c>
      <c r="G162" s="12"/>
      <c r="H162" s="12"/>
      <c r="I162" s="12"/>
      <c r="J162" s="13">
        <v>63</v>
      </c>
      <c r="K162" s="13">
        <v>66</v>
      </c>
      <c r="L162" s="13">
        <v>67</v>
      </c>
      <c r="M162" s="13">
        <v>69</v>
      </c>
      <c r="N162" s="14">
        <v>1.1166666666666667</v>
      </c>
      <c r="O162" s="14">
        <v>1.1499999999999999</v>
      </c>
    </row>
    <row r="163" spans="1:15">
      <c r="A163" s="9" t="s">
        <v>660</v>
      </c>
      <c r="B163" s="9" t="s">
        <v>661</v>
      </c>
      <c r="C163" s="9" t="s">
        <v>20</v>
      </c>
      <c r="D163" s="9" t="s">
        <v>662</v>
      </c>
      <c r="E163" s="11" t="s">
        <v>663</v>
      </c>
      <c r="F163" s="9" t="s">
        <v>567</v>
      </c>
      <c r="G163" s="12"/>
      <c r="H163" s="12"/>
      <c r="I163" s="12"/>
      <c r="J163" s="13">
        <v>69</v>
      </c>
      <c r="K163" s="13">
        <v>72</v>
      </c>
      <c r="L163" s="13">
        <v>74</v>
      </c>
      <c r="M163" s="13">
        <v>75</v>
      </c>
      <c r="N163" s="14">
        <v>1.2333333333333334</v>
      </c>
      <c r="O163" s="14">
        <v>1.25</v>
      </c>
    </row>
    <row r="164" spans="1:15">
      <c r="A164" s="9" t="s">
        <v>664</v>
      </c>
      <c r="B164" s="9" t="s">
        <v>665</v>
      </c>
      <c r="C164" s="9" t="s">
        <v>20</v>
      </c>
      <c r="D164" s="9" t="s">
        <v>666</v>
      </c>
      <c r="E164" s="11" t="s">
        <v>667</v>
      </c>
      <c r="F164" s="9" t="s">
        <v>567</v>
      </c>
      <c r="G164" s="12"/>
      <c r="H164" s="12"/>
      <c r="I164" s="12"/>
      <c r="J164" s="13">
        <v>69</v>
      </c>
      <c r="K164" s="13">
        <v>72</v>
      </c>
      <c r="L164" s="13">
        <v>74</v>
      </c>
      <c r="M164" s="13">
        <v>75</v>
      </c>
      <c r="N164" s="14">
        <v>1.2333333333333334</v>
      </c>
      <c r="O164" s="14">
        <v>1.25</v>
      </c>
    </row>
    <row r="165" spans="1:15">
      <c r="A165" s="10" t="s">
        <v>668</v>
      </c>
      <c r="B165" s="10" t="s">
        <v>669</v>
      </c>
      <c r="C165" s="10" t="s">
        <v>164</v>
      </c>
      <c r="D165" s="10" t="s">
        <v>670</v>
      </c>
      <c r="E165" s="11" t="s">
        <v>671</v>
      </c>
      <c r="F165" s="9" t="s">
        <v>567</v>
      </c>
      <c r="G165" s="12"/>
      <c r="H165" s="12"/>
      <c r="I165" s="12"/>
      <c r="J165" s="13" t="e">
        <v>#N/A</v>
      </c>
      <c r="K165" s="13" t="e">
        <v>#N/A</v>
      </c>
      <c r="L165" s="13" t="e">
        <v>#N/A</v>
      </c>
      <c r="M165" s="13" t="e">
        <v>#N/A</v>
      </c>
      <c r="N165" s="14" t="e">
        <v>#N/A</v>
      </c>
      <c r="O165" s="14" t="e">
        <v>#N/A</v>
      </c>
    </row>
    <row r="166" spans="1:15">
      <c r="A166" s="10" t="s">
        <v>672</v>
      </c>
      <c r="B166" s="10" t="s">
        <v>673</v>
      </c>
      <c r="C166" s="10" t="s">
        <v>164</v>
      </c>
      <c r="D166" s="10" t="s">
        <v>674</v>
      </c>
      <c r="E166" s="11" t="s">
        <v>675</v>
      </c>
      <c r="F166" s="9" t="s">
        <v>567</v>
      </c>
      <c r="G166" s="12"/>
      <c r="H166" s="12"/>
      <c r="I166" s="12"/>
      <c r="J166" s="13" t="e">
        <v>#N/A</v>
      </c>
      <c r="K166" s="13" t="e">
        <v>#N/A</v>
      </c>
      <c r="L166" s="13" t="e">
        <v>#N/A</v>
      </c>
      <c r="M166" s="13" t="e">
        <v>#N/A</v>
      </c>
      <c r="N166" s="14" t="e">
        <v>#N/A</v>
      </c>
      <c r="O166" s="14" t="e">
        <v>#N/A</v>
      </c>
    </row>
    <row r="167" spans="1:15">
      <c r="A167" s="9" t="s">
        <v>676</v>
      </c>
      <c r="B167" s="9" t="s">
        <v>677</v>
      </c>
      <c r="C167" s="9" t="s">
        <v>20</v>
      </c>
      <c r="D167" s="9" t="s">
        <v>678</v>
      </c>
      <c r="E167" s="11" t="s">
        <v>679</v>
      </c>
      <c r="F167" s="9" t="s">
        <v>567</v>
      </c>
      <c r="G167" s="12"/>
      <c r="H167" s="12"/>
      <c r="I167" s="12"/>
      <c r="J167" s="13">
        <v>69</v>
      </c>
      <c r="K167" s="13">
        <v>72</v>
      </c>
      <c r="L167" s="13">
        <v>74</v>
      </c>
      <c r="M167" s="13">
        <v>75</v>
      </c>
      <c r="N167" s="14">
        <v>1.2333333333333334</v>
      </c>
      <c r="O167" s="14">
        <v>1.25</v>
      </c>
    </row>
    <row r="168" spans="1:15">
      <c r="A168" s="9" t="s">
        <v>680</v>
      </c>
      <c r="B168" s="10" t="s">
        <v>681</v>
      </c>
      <c r="C168" s="10" t="s">
        <v>30</v>
      </c>
      <c r="D168" s="10" t="s">
        <v>682</v>
      </c>
      <c r="E168" s="11" t="s">
        <v>683</v>
      </c>
      <c r="F168" s="9" t="s">
        <v>567</v>
      </c>
      <c r="G168" s="12"/>
      <c r="H168" s="12"/>
      <c r="I168" s="12"/>
      <c r="J168" s="13" t="e">
        <v>#N/A</v>
      </c>
      <c r="K168" s="13" t="e">
        <v>#N/A</v>
      </c>
      <c r="L168" s="13" t="e">
        <v>#N/A</v>
      </c>
      <c r="M168" s="13" t="e">
        <v>#N/A</v>
      </c>
      <c r="N168" s="14" t="e">
        <v>#N/A</v>
      </c>
      <c r="O168" s="14" t="e">
        <v>#N/A</v>
      </c>
    </row>
    <row r="169" spans="1:15">
      <c r="A169" s="9" t="s">
        <v>684</v>
      </c>
      <c r="B169" s="10" t="s">
        <v>685</v>
      </c>
      <c r="C169" s="9" t="s">
        <v>30</v>
      </c>
      <c r="D169" s="9" t="s">
        <v>686</v>
      </c>
      <c r="E169" s="11" t="s">
        <v>687</v>
      </c>
      <c r="F169" s="9" t="s">
        <v>567</v>
      </c>
      <c r="G169" s="12"/>
      <c r="H169" s="12"/>
      <c r="I169" s="12"/>
      <c r="J169" s="13">
        <v>72</v>
      </c>
      <c r="K169" s="13">
        <v>75</v>
      </c>
      <c r="L169" s="13">
        <v>77</v>
      </c>
      <c r="M169" s="13">
        <v>78</v>
      </c>
      <c r="N169" s="14">
        <v>1.2833333333333334</v>
      </c>
      <c r="O169" s="14">
        <v>1.3</v>
      </c>
    </row>
    <row r="170" spans="1:15">
      <c r="A170" s="9" t="s">
        <v>688</v>
      </c>
      <c r="B170" s="10" t="s">
        <v>689</v>
      </c>
      <c r="C170" s="10" t="s">
        <v>20</v>
      </c>
      <c r="D170" s="10" t="s">
        <v>690</v>
      </c>
      <c r="E170" s="11" t="s">
        <v>691</v>
      </c>
      <c r="F170" s="9" t="s">
        <v>567</v>
      </c>
      <c r="G170" s="12"/>
      <c r="H170" s="12"/>
      <c r="I170" s="12"/>
      <c r="J170" s="13">
        <v>69</v>
      </c>
      <c r="K170" s="13">
        <v>72</v>
      </c>
      <c r="L170" s="13">
        <v>74</v>
      </c>
      <c r="M170" s="13">
        <v>75</v>
      </c>
      <c r="N170" s="14">
        <v>1.2333333333333334</v>
      </c>
      <c r="O170" s="14">
        <v>1.25</v>
      </c>
    </row>
    <row r="171" spans="1:15">
      <c r="A171" s="9" t="s">
        <v>692</v>
      </c>
      <c r="B171" s="9" t="s">
        <v>693</v>
      </c>
      <c r="C171" s="9" t="s">
        <v>20</v>
      </c>
      <c r="D171" s="9" t="s">
        <v>694</v>
      </c>
      <c r="E171" s="11" t="s">
        <v>695</v>
      </c>
      <c r="F171" s="9" t="s">
        <v>567</v>
      </c>
      <c r="G171" s="12"/>
      <c r="H171" s="12"/>
      <c r="I171" s="12"/>
      <c r="J171" s="13">
        <v>69</v>
      </c>
      <c r="K171" s="13">
        <v>72</v>
      </c>
      <c r="L171" s="13">
        <v>74</v>
      </c>
      <c r="M171" s="13">
        <v>75</v>
      </c>
      <c r="N171" s="14">
        <v>1.2333333333333334</v>
      </c>
      <c r="O171" s="14">
        <v>1.25</v>
      </c>
    </row>
    <row r="172" spans="1:15">
      <c r="A172" s="9" t="s">
        <v>696</v>
      </c>
      <c r="B172" s="9" t="s">
        <v>697</v>
      </c>
      <c r="C172" s="9" t="s">
        <v>20</v>
      </c>
      <c r="D172" s="9" t="s">
        <v>698</v>
      </c>
      <c r="E172" s="11" t="s">
        <v>699</v>
      </c>
      <c r="F172" s="9" t="s">
        <v>567</v>
      </c>
      <c r="G172" s="12"/>
      <c r="H172" s="12"/>
      <c r="I172" s="12"/>
      <c r="J172" s="13">
        <v>69</v>
      </c>
      <c r="K172" s="13">
        <v>72</v>
      </c>
      <c r="L172" s="13">
        <v>74</v>
      </c>
      <c r="M172" s="13">
        <v>75</v>
      </c>
      <c r="N172" s="14">
        <v>1.2333333333333334</v>
      </c>
      <c r="O172" s="14">
        <v>1.25</v>
      </c>
    </row>
    <row r="173" spans="1:15">
      <c r="A173" s="9" t="s">
        <v>700</v>
      </c>
      <c r="B173" s="9" t="s">
        <v>701</v>
      </c>
      <c r="C173" s="9" t="s">
        <v>20</v>
      </c>
      <c r="D173" s="9" t="s">
        <v>702</v>
      </c>
      <c r="E173" s="11" t="s">
        <v>703</v>
      </c>
      <c r="F173" s="9" t="s">
        <v>567</v>
      </c>
      <c r="G173" s="12"/>
      <c r="H173" s="12"/>
      <c r="I173" s="12"/>
      <c r="J173" s="13">
        <v>69</v>
      </c>
      <c r="K173" s="13">
        <v>72</v>
      </c>
      <c r="L173" s="13">
        <v>74</v>
      </c>
      <c r="M173" s="13">
        <v>75</v>
      </c>
      <c r="N173" s="14">
        <v>1.2333333333333334</v>
      </c>
      <c r="O173" s="14">
        <v>1.25</v>
      </c>
    </row>
    <row r="174" spans="1:15">
      <c r="A174" s="9" t="s">
        <v>704</v>
      </c>
      <c r="B174" s="10" t="s">
        <v>705</v>
      </c>
      <c r="C174" s="10" t="s">
        <v>20</v>
      </c>
      <c r="D174" s="10" t="s">
        <v>706</v>
      </c>
      <c r="E174" s="11" t="s">
        <v>707</v>
      </c>
      <c r="F174" s="9" t="s">
        <v>567</v>
      </c>
      <c r="G174" s="12"/>
      <c r="H174" s="12"/>
      <c r="I174" s="12"/>
      <c r="J174" s="13">
        <v>69</v>
      </c>
      <c r="K174" s="13">
        <v>72</v>
      </c>
      <c r="L174" s="13">
        <v>74</v>
      </c>
      <c r="M174" s="13">
        <v>75</v>
      </c>
      <c r="N174" s="14">
        <v>1.2333333333333334</v>
      </c>
      <c r="O174" s="14">
        <v>1.25</v>
      </c>
    </row>
    <row r="175" spans="1:15">
      <c r="A175" s="10" t="s">
        <v>708</v>
      </c>
      <c r="B175" s="10" t="s">
        <v>709</v>
      </c>
      <c r="C175" s="10" t="s">
        <v>92</v>
      </c>
      <c r="D175" s="10" t="s">
        <v>710</v>
      </c>
      <c r="E175" s="11" t="s">
        <v>711</v>
      </c>
      <c r="F175" s="9" t="s">
        <v>567</v>
      </c>
      <c r="G175" s="12"/>
      <c r="H175" s="12"/>
      <c r="I175" s="12"/>
      <c r="J175" s="13">
        <v>69</v>
      </c>
      <c r="K175" s="13">
        <v>72</v>
      </c>
      <c r="L175" s="13">
        <v>74</v>
      </c>
      <c r="M175" s="13">
        <v>75</v>
      </c>
      <c r="N175" s="14">
        <v>1.2333333333333334</v>
      </c>
      <c r="O175" s="14">
        <v>1.25</v>
      </c>
    </row>
    <row r="176" spans="1:15">
      <c r="A176" s="9" t="s">
        <v>712</v>
      </c>
      <c r="B176" s="9" t="s">
        <v>713</v>
      </c>
      <c r="C176" s="9" t="s">
        <v>164</v>
      </c>
      <c r="D176" s="9" t="s">
        <v>714</v>
      </c>
      <c r="E176" s="11" t="s">
        <v>715</v>
      </c>
      <c r="F176" s="9" t="s">
        <v>567</v>
      </c>
      <c r="G176" s="12"/>
      <c r="H176" s="12"/>
      <c r="I176" s="12"/>
      <c r="J176" s="13" t="e">
        <v>#N/A</v>
      </c>
      <c r="K176" s="13" t="e">
        <v>#N/A</v>
      </c>
      <c r="L176" s="13" t="e">
        <v>#N/A</v>
      </c>
      <c r="M176" s="13" t="e">
        <v>#N/A</v>
      </c>
      <c r="N176" s="14" t="e">
        <v>#N/A</v>
      </c>
      <c r="O176" s="14" t="e">
        <v>#N/A</v>
      </c>
    </row>
    <row r="177" spans="1:15">
      <c r="A177" s="9" t="s">
        <v>716</v>
      </c>
      <c r="B177" s="9" t="s">
        <v>717</v>
      </c>
      <c r="C177" s="9" t="s">
        <v>16</v>
      </c>
      <c r="D177" s="9" t="s">
        <v>718</v>
      </c>
      <c r="E177" s="11" t="s">
        <v>719</v>
      </c>
      <c r="F177" s="9" t="s">
        <v>567</v>
      </c>
      <c r="G177" s="12"/>
      <c r="H177" s="12"/>
      <c r="I177" s="12"/>
      <c r="J177" s="13" t="e">
        <v>#N/A</v>
      </c>
      <c r="K177" s="13" t="e">
        <v>#N/A</v>
      </c>
      <c r="L177" s="13" t="e">
        <v>#N/A</v>
      </c>
      <c r="M177" s="13" t="e">
        <v>#N/A</v>
      </c>
      <c r="N177" s="14" t="e">
        <v>#N/A</v>
      </c>
      <c r="O177" s="14" t="e">
        <v>#N/A</v>
      </c>
    </row>
    <row r="178" spans="1:15">
      <c r="A178" s="35" t="s">
        <v>720</v>
      </c>
      <c r="B178" s="10" t="s">
        <v>721</v>
      </c>
      <c r="C178" s="10" t="s">
        <v>164</v>
      </c>
      <c r="D178" s="10" t="s">
        <v>722</v>
      </c>
      <c r="E178" s="11" t="s">
        <v>723</v>
      </c>
      <c r="F178" s="9" t="s">
        <v>567</v>
      </c>
      <c r="G178" s="12"/>
      <c r="H178" s="12"/>
      <c r="I178" s="12"/>
      <c r="J178" s="13">
        <v>72</v>
      </c>
      <c r="K178" s="13">
        <v>75</v>
      </c>
      <c r="L178" s="13">
        <v>77</v>
      </c>
      <c r="M178" s="13">
        <v>78</v>
      </c>
      <c r="N178" s="14">
        <v>1.2833333333333334</v>
      </c>
      <c r="O178" s="14">
        <v>1.3</v>
      </c>
    </row>
    <row r="179" spans="1:15">
      <c r="A179" s="9" t="s">
        <v>724</v>
      </c>
      <c r="B179" s="9" t="s">
        <v>725</v>
      </c>
      <c r="C179" s="9" t="s">
        <v>20</v>
      </c>
      <c r="D179" s="9" t="s">
        <v>726</v>
      </c>
      <c r="E179" s="11" t="s">
        <v>727</v>
      </c>
      <c r="F179" s="9" t="s">
        <v>567</v>
      </c>
      <c r="G179" s="12"/>
      <c r="H179" s="12"/>
      <c r="I179" s="12"/>
      <c r="J179" s="13">
        <v>70</v>
      </c>
      <c r="K179" s="13">
        <v>73</v>
      </c>
      <c r="L179" s="13">
        <v>75</v>
      </c>
      <c r="M179" s="13">
        <v>76</v>
      </c>
      <c r="N179" s="14">
        <v>1.25</v>
      </c>
      <c r="O179" s="14">
        <v>1.2666666666666666</v>
      </c>
    </row>
    <row r="180" spans="1:15">
      <c r="A180" s="9" t="s">
        <v>728</v>
      </c>
      <c r="B180" s="9" t="s">
        <v>729</v>
      </c>
      <c r="C180" s="9" t="s">
        <v>20</v>
      </c>
      <c r="D180" s="9" t="s">
        <v>730</v>
      </c>
      <c r="E180" s="11" t="s">
        <v>731</v>
      </c>
      <c r="F180" s="9" t="s">
        <v>567</v>
      </c>
      <c r="G180" s="12"/>
      <c r="H180" s="12"/>
      <c r="I180" s="12"/>
      <c r="J180" s="13">
        <v>63</v>
      </c>
      <c r="K180" s="13">
        <v>66</v>
      </c>
      <c r="L180" s="13">
        <v>67</v>
      </c>
      <c r="M180" s="13">
        <v>69</v>
      </c>
      <c r="N180" s="14">
        <v>1.1166666666666667</v>
      </c>
      <c r="O180" s="14">
        <v>1.1499999999999999</v>
      </c>
    </row>
    <row r="181" spans="1:15">
      <c r="A181" s="9" t="s">
        <v>732</v>
      </c>
      <c r="B181" s="9" t="s">
        <v>733</v>
      </c>
      <c r="C181" s="9" t="s">
        <v>20</v>
      </c>
      <c r="D181" s="9" t="s">
        <v>734</v>
      </c>
      <c r="E181" s="11" t="s">
        <v>735</v>
      </c>
      <c r="F181" s="9" t="s">
        <v>567</v>
      </c>
      <c r="G181" s="12"/>
      <c r="H181" s="12"/>
      <c r="I181" s="12"/>
      <c r="J181" s="13">
        <v>63</v>
      </c>
      <c r="K181" s="13">
        <v>66</v>
      </c>
      <c r="L181" s="13">
        <v>67</v>
      </c>
      <c r="M181" s="13">
        <v>69</v>
      </c>
      <c r="N181" s="14">
        <v>1.1166666666666667</v>
      </c>
      <c r="O181" s="14">
        <v>1.1499999999999999</v>
      </c>
    </row>
    <row r="182" spans="1:15">
      <c r="A182" s="9" t="s">
        <v>736</v>
      </c>
      <c r="B182" s="10" t="s">
        <v>737</v>
      </c>
      <c r="C182" s="10" t="s">
        <v>30</v>
      </c>
      <c r="D182" s="10" t="s">
        <v>738</v>
      </c>
      <c r="E182" s="11" t="e">
        <v>#N/A</v>
      </c>
      <c r="F182" s="9" t="s">
        <v>567</v>
      </c>
      <c r="G182" s="12"/>
      <c r="H182" s="12"/>
      <c r="I182" s="12"/>
      <c r="J182" s="13" t="e">
        <v>#N/A</v>
      </c>
      <c r="K182" s="13" t="e">
        <v>#N/A</v>
      </c>
      <c r="L182" s="13" t="e">
        <v>#N/A</v>
      </c>
      <c r="M182" s="13" t="e">
        <v>#N/A</v>
      </c>
      <c r="N182" s="14" t="e">
        <v>#N/A</v>
      </c>
      <c r="O182" s="14" t="e">
        <v>#N/A</v>
      </c>
    </row>
    <row r="183" spans="1:15">
      <c r="A183" s="9" t="s">
        <v>739</v>
      </c>
      <c r="B183" s="9" t="s">
        <v>740</v>
      </c>
      <c r="C183" s="9" t="s">
        <v>20</v>
      </c>
      <c r="D183" s="9" t="s">
        <v>741</v>
      </c>
      <c r="E183" s="11" t="s">
        <v>742</v>
      </c>
      <c r="F183" s="9" t="s">
        <v>567</v>
      </c>
      <c r="G183" s="12"/>
      <c r="H183" s="12"/>
      <c r="I183" s="12"/>
      <c r="J183" s="13">
        <v>62</v>
      </c>
      <c r="K183" s="13">
        <v>65</v>
      </c>
      <c r="L183" s="13">
        <v>66</v>
      </c>
      <c r="M183" s="13">
        <v>68</v>
      </c>
      <c r="N183" s="14">
        <v>1.1000000000000001</v>
      </c>
      <c r="O183" s="14">
        <v>1.1333333333333333</v>
      </c>
    </row>
    <row r="184" spans="1:15">
      <c r="A184" s="9" t="s">
        <v>743</v>
      </c>
      <c r="B184" s="9" t="s">
        <v>744</v>
      </c>
      <c r="C184" s="9" t="s">
        <v>20</v>
      </c>
      <c r="D184" s="9" t="s">
        <v>745</v>
      </c>
      <c r="E184" s="11" t="s">
        <v>746</v>
      </c>
      <c r="F184" s="9" t="s">
        <v>567</v>
      </c>
      <c r="G184" s="12"/>
      <c r="H184" s="12"/>
      <c r="I184" s="12"/>
      <c r="J184" s="13">
        <v>69</v>
      </c>
      <c r="K184" s="13">
        <v>72</v>
      </c>
      <c r="L184" s="13">
        <v>74</v>
      </c>
      <c r="M184" s="13">
        <v>75</v>
      </c>
      <c r="N184" s="14">
        <v>1.2333333333333334</v>
      </c>
      <c r="O184" s="14">
        <v>1.25</v>
      </c>
    </row>
    <row r="185" spans="1:15">
      <c r="A185" s="9" t="s">
        <v>747</v>
      </c>
      <c r="B185" s="9" t="s">
        <v>748</v>
      </c>
      <c r="C185" s="9" t="s">
        <v>20</v>
      </c>
      <c r="D185" s="9" t="s">
        <v>749</v>
      </c>
      <c r="E185" s="11" t="s">
        <v>750</v>
      </c>
      <c r="F185" s="9" t="s">
        <v>567</v>
      </c>
      <c r="G185" s="12"/>
      <c r="H185" s="12"/>
      <c r="I185" s="12"/>
      <c r="J185" s="13">
        <v>63</v>
      </c>
      <c r="K185" s="13">
        <v>66</v>
      </c>
      <c r="L185" s="13">
        <v>67</v>
      </c>
      <c r="M185" s="13">
        <v>69</v>
      </c>
      <c r="N185" s="14">
        <v>1.1166666666666667</v>
      </c>
      <c r="O185" s="14">
        <v>1.1499999999999999</v>
      </c>
    </row>
    <row r="186" spans="1:15">
      <c r="A186" s="9" t="s">
        <v>751</v>
      </c>
      <c r="B186" s="9" t="s">
        <v>752</v>
      </c>
      <c r="C186" s="9" t="s">
        <v>20</v>
      </c>
      <c r="D186" s="9" t="s">
        <v>753</v>
      </c>
      <c r="E186" s="11" t="s">
        <v>754</v>
      </c>
      <c r="F186" s="9" t="s">
        <v>567</v>
      </c>
      <c r="G186" s="12"/>
      <c r="H186" s="12"/>
      <c r="I186" s="12"/>
      <c r="J186" s="13">
        <v>69</v>
      </c>
      <c r="K186" s="13">
        <v>72</v>
      </c>
      <c r="L186" s="13">
        <v>74</v>
      </c>
      <c r="M186" s="13">
        <v>75</v>
      </c>
      <c r="N186" s="14">
        <v>1.2333333333333334</v>
      </c>
      <c r="O186" s="14">
        <v>1.25</v>
      </c>
    </row>
    <row r="187" spans="1:15">
      <c r="A187" s="9" t="s">
        <v>755</v>
      </c>
      <c r="B187" s="9" t="s">
        <v>756</v>
      </c>
      <c r="C187" s="9" t="s">
        <v>20</v>
      </c>
      <c r="D187" s="9" t="s">
        <v>757</v>
      </c>
      <c r="E187" s="11" t="s">
        <v>758</v>
      </c>
      <c r="F187" s="9" t="s">
        <v>567</v>
      </c>
      <c r="G187" s="12"/>
      <c r="H187" s="12"/>
      <c r="I187" s="12"/>
      <c r="J187" s="13">
        <v>70</v>
      </c>
      <c r="K187" s="13">
        <v>73</v>
      </c>
      <c r="L187" s="13">
        <v>75</v>
      </c>
      <c r="M187" s="13">
        <v>76</v>
      </c>
      <c r="N187" s="14">
        <v>1.25</v>
      </c>
      <c r="O187" s="14">
        <v>1.2666666666666666</v>
      </c>
    </row>
    <row r="188" spans="1:15">
      <c r="A188" s="9" t="s">
        <v>759</v>
      </c>
      <c r="B188" s="9" t="s">
        <v>760</v>
      </c>
      <c r="C188" s="9" t="s">
        <v>20</v>
      </c>
      <c r="D188" s="9" t="s">
        <v>761</v>
      </c>
      <c r="E188" s="11" t="s">
        <v>762</v>
      </c>
      <c r="F188" s="9" t="s">
        <v>567</v>
      </c>
      <c r="G188" s="12"/>
      <c r="H188" s="12"/>
      <c r="I188" s="12"/>
      <c r="J188" s="13">
        <v>69</v>
      </c>
      <c r="K188" s="13">
        <v>72</v>
      </c>
      <c r="L188" s="13">
        <v>74</v>
      </c>
      <c r="M188" s="13">
        <v>75</v>
      </c>
      <c r="N188" s="14">
        <v>1.2333333333333334</v>
      </c>
      <c r="O188" s="14">
        <v>1.25</v>
      </c>
    </row>
    <row r="189" spans="1:15">
      <c r="A189" s="9" t="s">
        <v>763</v>
      </c>
      <c r="B189" s="9" t="s">
        <v>764</v>
      </c>
      <c r="C189" s="9" t="s">
        <v>20</v>
      </c>
      <c r="D189" s="9" t="s">
        <v>765</v>
      </c>
      <c r="E189" s="11" t="s">
        <v>766</v>
      </c>
      <c r="F189" s="9" t="s">
        <v>567</v>
      </c>
      <c r="G189" s="12"/>
      <c r="H189" s="12"/>
      <c r="I189" s="12"/>
      <c r="J189" s="13">
        <v>69</v>
      </c>
      <c r="K189" s="13">
        <v>72</v>
      </c>
      <c r="L189" s="13">
        <v>74</v>
      </c>
      <c r="M189" s="13">
        <v>75</v>
      </c>
      <c r="N189" s="14">
        <v>1.2333333333333334</v>
      </c>
      <c r="O189" s="14">
        <v>1.25</v>
      </c>
    </row>
    <row r="190" spans="1:15">
      <c r="A190" s="9" t="s">
        <v>767</v>
      </c>
      <c r="B190" s="9" t="s">
        <v>768</v>
      </c>
      <c r="C190" s="9" t="s">
        <v>20</v>
      </c>
      <c r="D190" s="9" t="s">
        <v>769</v>
      </c>
      <c r="E190" s="11" t="s">
        <v>770</v>
      </c>
      <c r="F190" s="9" t="s">
        <v>567</v>
      </c>
      <c r="G190" s="12"/>
      <c r="H190" s="12"/>
      <c r="I190" s="12"/>
      <c r="J190" s="13">
        <v>70</v>
      </c>
      <c r="K190" s="13">
        <v>73</v>
      </c>
      <c r="L190" s="13">
        <v>75</v>
      </c>
      <c r="M190" s="13">
        <v>76</v>
      </c>
      <c r="N190" s="14">
        <v>1.25</v>
      </c>
      <c r="O190" s="14">
        <v>1.2666666666666666</v>
      </c>
    </row>
    <row r="191" spans="1:15">
      <c r="A191" s="33" t="s">
        <v>771</v>
      </c>
      <c r="B191" s="9" t="s">
        <v>772</v>
      </c>
      <c r="C191" s="9" t="s">
        <v>164</v>
      </c>
      <c r="D191" s="9" t="s">
        <v>773</v>
      </c>
      <c r="E191" s="11" t="s">
        <v>774</v>
      </c>
      <c r="F191" s="9" t="s">
        <v>567</v>
      </c>
      <c r="G191" s="12"/>
      <c r="H191" s="12"/>
      <c r="I191" s="12"/>
      <c r="J191" s="13">
        <v>77</v>
      </c>
      <c r="K191" s="13">
        <v>80</v>
      </c>
      <c r="L191" s="13">
        <v>82</v>
      </c>
      <c r="M191" s="13">
        <v>84</v>
      </c>
      <c r="N191" s="14">
        <v>1.3666666666666667</v>
      </c>
      <c r="O191" s="14">
        <v>1.4</v>
      </c>
    </row>
    <row r="192" spans="1:15">
      <c r="A192" s="9" t="s">
        <v>775</v>
      </c>
      <c r="B192" s="9" t="s">
        <v>776</v>
      </c>
      <c r="C192" s="9" t="s">
        <v>20</v>
      </c>
      <c r="D192" s="9" t="s">
        <v>777</v>
      </c>
      <c r="E192" s="11" t="s">
        <v>778</v>
      </c>
      <c r="F192" s="9" t="s">
        <v>567</v>
      </c>
      <c r="G192" s="12"/>
      <c r="H192" s="12"/>
      <c r="I192" s="12"/>
      <c r="J192" s="13">
        <v>70</v>
      </c>
      <c r="K192" s="13">
        <v>73</v>
      </c>
      <c r="L192" s="13">
        <v>75</v>
      </c>
      <c r="M192" s="13">
        <v>76</v>
      </c>
      <c r="N192" s="14">
        <v>1.25</v>
      </c>
      <c r="O192" s="14">
        <v>1.2666666666666666</v>
      </c>
    </row>
    <row r="193" spans="1:15">
      <c r="A193" s="9" t="s">
        <v>779</v>
      </c>
      <c r="B193" s="9" t="s">
        <v>780</v>
      </c>
      <c r="C193" s="9" t="s">
        <v>20</v>
      </c>
      <c r="D193" s="9" t="s">
        <v>781</v>
      </c>
      <c r="E193" s="11" t="s">
        <v>782</v>
      </c>
      <c r="F193" s="9" t="s">
        <v>567</v>
      </c>
      <c r="G193" s="12"/>
      <c r="H193" s="12"/>
      <c r="I193" s="12"/>
      <c r="J193" s="13">
        <v>69</v>
      </c>
      <c r="K193" s="13">
        <v>72</v>
      </c>
      <c r="L193" s="13">
        <v>74</v>
      </c>
      <c r="M193" s="13">
        <v>75</v>
      </c>
      <c r="N193" s="14">
        <v>1.2333333333333334</v>
      </c>
      <c r="O193" s="14">
        <v>1.25</v>
      </c>
    </row>
    <row r="194" spans="1:15">
      <c r="A194" s="9" t="s">
        <v>783</v>
      </c>
      <c r="B194" s="9" t="s">
        <v>784</v>
      </c>
      <c r="C194" s="9" t="s">
        <v>20</v>
      </c>
      <c r="D194" s="9" t="s">
        <v>785</v>
      </c>
      <c r="E194" s="11" t="s">
        <v>786</v>
      </c>
      <c r="F194" s="9" t="s">
        <v>567</v>
      </c>
      <c r="G194" s="12"/>
      <c r="H194" s="12"/>
      <c r="I194" s="12"/>
      <c r="J194" s="13">
        <v>70</v>
      </c>
      <c r="K194" s="13">
        <v>73</v>
      </c>
      <c r="L194" s="13">
        <v>75</v>
      </c>
      <c r="M194" s="13">
        <v>76</v>
      </c>
      <c r="N194" s="14">
        <v>1.25</v>
      </c>
      <c r="O194" s="14">
        <v>1.2666666666666666</v>
      </c>
    </row>
    <row r="195" spans="1:15">
      <c r="A195" s="35" t="s">
        <v>787</v>
      </c>
      <c r="B195" s="10" t="s">
        <v>788</v>
      </c>
      <c r="C195" s="10" t="s">
        <v>30</v>
      </c>
      <c r="D195" s="10" t="s">
        <v>789</v>
      </c>
      <c r="E195" s="11" t="s">
        <v>790</v>
      </c>
      <c r="F195" s="9" t="s">
        <v>567</v>
      </c>
      <c r="G195" s="12"/>
      <c r="H195" s="12"/>
      <c r="I195" s="12"/>
      <c r="J195" s="13">
        <v>72</v>
      </c>
      <c r="K195" s="13">
        <v>75</v>
      </c>
      <c r="L195" s="13">
        <v>77</v>
      </c>
      <c r="M195" s="13">
        <v>78</v>
      </c>
      <c r="N195" s="14">
        <v>1.2833333333333334</v>
      </c>
      <c r="O195" s="14">
        <v>1.3</v>
      </c>
    </row>
    <row r="196" spans="1:15">
      <c r="A196" s="9" t="s">
        <v>791</v>
      </c>
      <c r="B196" s="9" t="s">
        <v>792</v>
      </c>
      <c r="C196" s="9" t="s">
        <v>30</v>
      </c>
      <c r="D196" s="9" t="s">
        <v>793</v>
      </c>
      <c r="E196" s="11" t="s">
        <v>794</v>
      </c>
      <c r="F196" s="9" t="s">
        <v>567</v>
      </c>
      <c r="G196" s="12"/>
      <c r="H196" s="12"/>
      <c r="I196" s="12"/>
      <c r="J196" s="13" t="e">
        <v>#N/A</v>
      </c>
      <c r="K196" s="13" t="e">
        <v>#N/A</v>
      </c>
      <c r="L196" s="13" t="e">
        <v>#N/A</v>
      </c>
      <c r="M196" s="13" t="e">
        <v>#N/A</v>
      </c>
      <c r="N196" s="14" t="e">
        <v>#N/A</v>
      </c>
      <c r="O196" s="14" t="e">
        <v>#N/A</v>
      </c>
    </row>
    <row r="197" spans="1:15">
      <c r="A197" s="16" t="s">
        <v>795</v>
      </c>
      <c r="B197" s="10" t="s">
        <v>796</v>
      </c>
      <c r="C197" s="10"/>
      <c r="D197" s="10" t="s">
        <v>797</v>
      </c>
      <c r="E197" s="11" t="s">
        <v>798</v>
      </c>
      <c r="F197" s="10" t="s">
        <v>567</v>
      </c>
      <c r="G197" s="12"/>
      <c r="H197" s="12"/>
      <c r="I197" s="12"/>
      <c r="J197" s="12" t="e">
        <v>#N/A</v>
      </c>
      <c r="K197" s="13" t="e">
        <v>#N/A</v>
      </c>
      <c r="L197" s="13" t="e">
        <v>#N/A</v>
      </c>
      <c r="M197" s="13" t="e">
        <v>#N/A</v>
      </c>
      <c r="N197" s="14" t="e">
        <v>#N/A</v>
      </c>
      <c r="O197" s="14" t="e">
        <v>#N/A</v>
      </c>
    </row>
    <row r="198" spans="1:15">
      <c r="A198" s="16" t="s">
        <v>799</v>
      </c>
      <c r="B198" s="12" t="s">
        <v>800</v>
      </c>
      <c r="C198" s="10"/>
      <c r="D198" s="10" t="s">
        <v>801</v>
      </c>
      <c r="E198" s="11" t="s">
        <v>802</v>
      </c>
      <c r="F198" s="10" t="s">
        <v>567</v>
      </c>
      <c r="G198" s="12"/>
      <c r="H198" s="12"/>
      <c r="I198" s="12"/>
      <c r="J198" s="12" t="e">
        <v>#N/A</v>
      </c>
      <c r="K198" s="13" t="e">
        <v>#N/A</v>
      </c>
      <c r="L198" s="13" t="e">
        <v>#N/A</v>
      </c>
      <c r="M198" s="13" t="e">
        <v>#N/A</v>
      </c>
      <c r="N198" s="14" t="e">
        <v>#N/A</v>
      </c>
      <c r="O198" s="14" t="e">
        <v>#N/A</v>
      </c>
    </row>
    <row r="199" spans="1:15">
      <c r="A199" s="9" t="s">
        <v>803</v>
      </c>
      <c r="B199" s="9" t="s">
        <v>804</v>
      </c>
      <c r="C199" s="9" t="s">
        <v>20</v>
      </c>
      <c r="D199" s="9" t="s">
        <v>805</v>
      </c>
      <c r="E199" s="11" t="s">
        <v>806</v>
      </c>
      <c r="F199" s="9" t="s">
        <v>807</v>
      </c>
      <c r="G199" s="12"/>
      <c r="H199" s="12"/>
      <c r="I199" s="12"/>
      <c r="J199" s="13">
        <v>68</v>
      </c>
      <c r="K199" s="13">
        <v>71</v>
      </c>
      <c r="L199" s="13">
        <v>73</v>
      </c>
      <c r="M199" s="13">
        <v>74</v>
      </c>
      <c r="N199" s="14">
        <v>1.2166666666666666</v>
      </c>
      <c r="O199" s="14">
        <v>1.2333333333333334</v>
      </c>
    </row>
    <row r="200" spans="1:15" ht="15">
      <c r="A200" s="9" t="s">
        <v>808</v>
      </c>
      <c r="B200" s="3" t="s">
        <v>809</v>
      </c>
      <c r="C200" s="10" t="s">
        <v>368</v>
      </c>
      <c r="D200" s="10" t="s">
        <v>810</v>
      </c>
      <c r="E200" s="11" t="s">
        <v>811</v>
      </c>
      <c r="F200" s="9" t="s">
        <v>807</v>
      </c>
      <c r="G200" s="12"/>
      <c r="H200" s="12"/>
      <c r="I200" s="12"/>
      <c r="J200" s="13">
        <v>67</v>
      </c>
      <c r="K200" s="13">
        <v>70</v>
      </c>
      <c r="L200" s="13">
        <v>72</v>
      </c>
      <c r="M200" s="13">
        <v>73</v>
      </c>
      <c r="N200" s="14">
        <v>1.2</v>
      </c>
      <c r="O200" s="14">
        <v>1.2166666666666666</v>
      </c>
    </row>
    <row r="201" spans="1:15">
      <c r="A201" s="9" t="s">
        <v>812</v>
      </c>
      <c r="B201" s="9" t="s">
        <v>813</v>
      </c>
      <c r="C201" s="9" t="s">
        <v>20</v>
      </c>
      <c r="D201" s="9" t="s">
        <v>814</v>
      </c>
      <c r="E201" s="11" t="s">
        <v>815</v>
      </c>
      <c r="F201" s="9" t="s">
        <v>807</v>
      </c>
      <c r="G201" s="12"/>
      <c r="H201" s="12"/>
      <c r="I201" s="12"/>
      <c r="J201" s="13">
        <v>68</v>
      </c>
      <c r="K201" s="13">
        <v>71</v>
      </c>
      <c r="L201" s="13">
        <v>73</v>
      </c>
      <c r="M201" s="13">
        <v>74</v>
      </c>
      <c r="N201" s="14">
        <v>1.2166666666666666</v>
      </c>
      <c r="O201" s="14">
        <v>1.2333333333333334</v>
      </c>
    </row>
    <row r="202" spans="1:15">
      <c r="A202" s="10" t="s">
        <v>816</v>
      </c>
      <c r="B202" s="10" t="s">
        <v>817</v>
      </c>
      <c r="C202" s="10" t="s">
        <v>368</v>
      </c>
      <c r="D202" s="10" t="s">
        <v>818</v>
      </c>
      <c r="E202" s="11" t="s">
        <v>819</v>
      </c>
      <c r="F202" s="9" t="s">
        <v>807</v>
      </c>
      <c r="G202" s="12"/>
      <c r="H202" s="12"/>
      <c r="I202" s="12"/>
      <c r="J202" s="13" t="e">
        <v>#N/A</v>
      </c>
      <c r="K202" s="13" t="e">
        <v>#N/A</v>
      </c>
      <c r="L202" s="13" t="e">
        <v>#N/A</v>
      </c>
      <c r="M202" s="13" t="e">
        <v>#N/A</v>
      </c>
      <c r="N202" s="14" t="e">
        <v>#N/A</v>
      </c>
      <c r="O202" s="14" t="e">
        <v>#N/A</v>
      </c>
    </row>
    <row r="203" spans="1:15">
      <c r="A203" s="9" t="s">
        <v>820</v>
      </c>
      <c r="B203" s="9" t="s">
        <v>821</v>
      </c>
      <c r="C203" s="9" t="s">
        <v>20</v>
      </c>
      <c r="D203" s="9" t="s">
        <v>822</v>
      </c>
      <c r="E203" s="11" t="s">
        <v>823</v>
      </c>
      <c r="F203" s="9" t="s">
        <v>807</v>
      </c>
      <c r="G203" s="12"/>
      <c r="H203" s="12"/>
      <c r="I203" s="12"/>
      <c r="J203" s="13">
        <v>68</v>
      </c>
      <c r="K203" s="13">
        <v>71</v>
      </c>
      <c r="L203" s="13">
        <v>73</v>
      </c>
      <c r="M203" s="13">
        <v>74</v>
      </c>
      <c r="N203" s="14">
        <v>1.2166666666666666</v>
      </c>
      <c r="O203" s="14">
        <v>1.2333333333333334</v>
      </c>
    </row>
    <row r="204" spans="1:15" ht="15">
      <c r="A204" s="10" t="s">
        <v>824</v>
      </c>
      <c r="B204" s="3" t="s">
        <v>825</v>
      </c>
      <c r="C204" s="10" t="s">
        <v>59</v>
      </c>
      <c r="D204" s="10" t="s">
        <v>826</v>
      </c>
      <c r="E204" s="11" t="s">
        <v>827</v>
      </c>
      <c r="F204" s="9" t="s">
        <v>807</v>
      </c>
      <c r="G204" s="12"/>
      <c r="H204" s="12"/>
      <c r="I204" s="12"/>
      <c r="J204" s="13" t="e">
        <v>#N/A</v>
      </c>
      <c r="K204" s="13" t="e">
        <v>#N/A</v>
      </c>
      <c r="L204" s="13" t="e">
        <v>#N/A</v>
      </c>
      <c r="M204" s="13" t="e">
        <v>#N/A</v>
      </c>
      <c r="N204" s="14" t="e">
        <v>#N/A</v>
      </c>
      <c r="O204" s="14" t="e">
        <v>#N/A</v>
      </c>
    </row>
    <row r="205" spans="1:15" ht="15">
      <c r="A205" s="9" t="s">
        <v>828</v>
      </c>
      <c r="B205" s="3" t="s">
        <v>829</v>
      </c>
      <c r="C205" s="10" t="s">
        <v>30</v>
      </c>
      <c r="D205" s="10" t="s">
        <v>830</v>
      </c>
      <c r="E205" s="11" t="s">
        <v>831</v>
      </c>
      <c r="F205" s="9" t="s">
        <v>807</v>
      </c>
      <c r="G205" s="12"/>
      <c r="H205" s="12"/>
      <c r="I205" s="12"/>
      <c r="J205" s="13">
        <v>72</v>
      </c>
      <c r="K205" s="13">
        <v>75</v>
      </c>
      <c r="L205" s="13">
        <v>77</v>
      </c>
      <c r="M205" s="13">
        <v>78</v>
      </c>
      <c r="N205" s="14">
        <v>1.2833333333333334</v>
      </c>
      <c r="O205" s="14">
        <v>1.3</v>
      </c>
    </row>
    <row r="206" spans="1:15">
      <c r="A206" s="9" t="s">
        <v>832</v>
      </c>
      <c r="B206" s="9" t="s">
        <v>833</v>
      </c>
      <c r="C206" s="9" t="s">
        <v>20</v>
      </c>
      <c r="D206" s="9" t="s">
        <v>834</v>
      </c>
      <c r="E206" s="11" t="s">
        <v>835</v>
      </c>
      <c r="F206" s="9" t="s">
        <v>807</v>
      </c>
      <c r="G206" s="12"/>
      <c r="H206" s="12"/>
      <c r="I206" s="12"/>
      <c r="J206" s="13">
        <v>60</v>
      </c>
      <c r="K206" s="13">
        <v>63</v>
      </c>
      <c r="L206" s="13">
        <v>64</v>
      </c>
      <c r="M206" s="13">
        <v>66</v>
      </c>
      <c r="N206" s="14">
        <v>1.0666666666666667</v>
      </c>
      <c r="O206" s="14">
        <v>1.1000000000000001</v>
      </c>
    </row>
    <row r="207" spans="1:15">
      <c r="A207" s="10" t="s">
        <v>836</v>
      </c>
      <c r="B207" s="10" t="s">
        <v>837</v>
      </c>
      <c r="C207" s="10" t="s">
        <v>30</v>
      </c>
      <c r="D207" s="10" t="s">
        <v>838</v>
      </c>
      <c r="E207" s="11" t="s">
        <v>839</v>
      </c>
      <c r="F207" s="9" t="s">
        <v>807</v>
      </c>
      <c r="G207" s="12"/>
      <c r="H207" s="12"/>
      <c r="I207" s="12"/>
      <c r="J207" s="13">
        <v>68</v>
      </c>
      <c r="K207" s="13">
        <v>71</v>
      </c>
      <c r="L207" s="13">
        <v>73</v>
      </c>
      <c r="M207" s="13">
        <v>74</v>
      </c>
      <c r="N207" s="14">
        <v>1.2166666666666666</v>
      </c>
      <c r="O207" s="14">
        <v>1.2333333333333334</v>
      </c>
    </row>
    <row r="208" spans="1:15">
      <c r="A208" s="9" t="s">
        <v>840</v>
      </c>
      <c r="B208" s="9" t="s">
        <v>841</v>
      </c>
      <c r="C208" s="9" t="s">
        <v>20</v>
      </c>
      <c r="D208" s="9" t="s">
        <v>842</v>
      </c>
      <c r="E208" s="11" t="s">
        <v>843</v>
      </c>
      <c r="F208" s="9" t="s">
        <v>807</v>
      </c>
      <c r="G208" s="12"/>
      <c r="H208" s="12"/>
      <c r="I208" s="12"/>
      <c r="J208" s="13">
        <v>60</v>
      </c>
      <c r="K208" s="13">
        <v>63</v>
      </c>
      <c r="L208" s="13">
        <v>64</v>
      </c>
      <c r="M208" s="13">
        <v>66</v>
      </c>
      <c r="N208" s="14">
        <v>1.0666666666666667</v>
      </c>
      <c r="O208" s="14">
        <v>1.1000000000000001</v>
      </c>
    </row>
    <row r="209" spans="1:15">
      <c r="A209" s="9" t="s">
        <v>844</v>
      </c>
      <c r="B209" s="9" t="s">
        <v>845</v>
      </c>
      <c r="C209" s="9" t="s">
        <v>20</v>
      </c>
      <c r="D209" s="9" t="s">
        <v>846</v>
      </c>
      <c r="E209" s="11" t="s">
        <v>847</v>
      </c>
      <c r="F209" s="9" t="s">
        <v>807</v>
      </c>
      <c r="G209" s="12"/>
      <c r="H209" s="12"/>
      <c r="I209" s="12"/>
      <c r="J209" s="13" t="e">
        <v>#N/A</v>
      </c>
      <c r="K209" s="13" t="e">
        <v>#N/A</v>
      </c>
      <c r="L209" s="13" t="e">
        <v>#N/A</v>
      </c>
      <c r="M209" s="13" t="e">
        <v>#N/A</v>
      </c>
      <c r="N209" s="14" t="e">
        <v>#N/A</v>
      </c>
      <c r="O209" s="14" t="e">
        <v>#N/A</v>
      </c>
    </row>
    <row r="210" spans="1:15">
      <c r="A210" s="10" t="s">
        <v>848</v>
      </c>
      <c r="B210" s="10" t="s">
        <v>849</v>
      </c>
      <c r="C210" s="10" t="s">
        <v>92</v>
      </c>
      <c r="D210" s="10" t="s">
        <v>850</v>
      </c>
      <c r="E210" s="11" t="s">
        <v>851</v>
      </c>
      <c r="F210" s="9" t="s">
        <v>807</v>
      </c>
      <c r="G210" s="12"/>
      <c r="H210" s="12"/>
      <c r="I210" s="12"/>
      <c r="J210" s="13">
        <v>60</v>
      </c>
      <c r="K210" s="13">
        <v>63</v>
      </c>
      <c r="L210" s="13">
        <v>64</v>
      </c>
      <c r="M210" s="13">
        <v>66</v>
      </c>
      <c r="N210" s="14">
        <v>1.0666666666666667</v>
      </c>
      <c r="O210" s="14">
        <v>1.1000000000000001</v>
      </c>
    </row>
    <row r="211" spans="1:15">
      <c r="A211" s="9" t="s">
        <v>852</v>
      </c>
      <c r="B211" s="9" t="s">
        <v>853</v>
      </c>
      <c r="C211" s="9" t="s">
        <v>20</v>
      </c>
      <c r="D211" s="9" t="s">
        <v>854</v>
      </c>
      <c r="E211" s="11" t="s">
        <v>855</v>
      </c>
      <c r="F211" s="9" t="s">
        <v>807</v>
      </c>
      <c r="G211" s="12"/>
      <c r="H211" s="12"/>
      <c r="I211" s="12"/>
      <c r="J211" s="13">
        <v>60</v>
      </c>
      <c r="K211" s="13">
        <v>63</v>
      </c>
      <c r="L211" s="13">
        <v>64</v>
      </c>
      <c r="M211" s="13">
        <v>66</v>
      </c>
      <c r="N211" s="14">
        <v>1.0666666666666667</v>
      </c>
      <c r="O211" s="14">
        <v>1.1000000000000001</v>
      </c>
    </row>
    <row r="212" spans="1:15">
      <c r="A212" s="9" t="s">
        <v>856</v>
      </c>
      <c r="B212" s="10" t="s">
        <v>857</v>
      </c>
      <c r="C212" s="10" t="s">
        <v>20</v>
      </c>
      <c r="D212" s="10" t="s">
        <v>858</v>
      </c>
      <c r="E212" s="11" t="s">
        <v>859</v>
      </c>
      <c r="F212" s="9" t="s">
        <v>807</v>
      </c>
      <c r="G212" s="12"/>
      <c r="H212" s="12"/>
      <c r="I212" s="12"/>
      <c r="J212" s="13">
        <v>68</v>
      </c>
      <c r="K212" s="13">
        <v>71</v>
      </c>
      <c r="L212" s="13">
        <v>73</v>
      </c>
      <c r="M212" s="13">
        <v>74</v>
      </c>
      <c r="N212" s="14">
        <v>1.2166666666666666</v>
      </c>
      <c r="O212" s="14">
        <v>1.2333333333333334</v>
      </c>
    </row>
    <row r="213" spans="1:15">
      <c r="A213" s="9" t="s">
        <v>860</v>
      </c>
      <c r="B213" s="10" t="s">
        <v>861</v>
      </c>
      <c r="C213" s="10" t="s">
        <v>59</v>
      </c>
      <c r="D213" s="10" t="s">
        <v>862</v>
      </c>
      <c r="E213" s="11" t="s">
        <v>863</v>
      </c>
      <c r="F213" s="9" t="s">
        <v>807</v>
      </c>
      <c r="G213" s="12"/>
      <c r="H213" s="12"/>
      <c r="I213" s="12"/>
      <c r="J213" s="13" t="e">
        <v>#N/A</v>
      </c>
      <c r="K213" s="13" t="e">
        <v>#N/A</v>
      </c>
      <c r="L213" s="13" t="e">
        <v>#N/A</v>
      </c>
      <c r="M213" s="13" t="e">
        <v>#N/A</v>
      </c>
      <c r="N213" s="14" t="e">
        <v>#N/A</v>
      </c>
      <c r="O213" s="14" t="e">
        <v>#N/A</v>
      </c>
    </row>
    <row r="214" spans="1:15">
      <c r="A214" s="9" t="s">
        <v>864</v>
      </c>
      <c r="B214" s="9" t="s">
        <v>865</v>
      </c>
      <c r="C214" s="9" t="s">
        <v>20</v>
      </c>
      <c r="D214" s="9" t="s">
        <v>866</v>
      </c>
      <c r="E214" s="11" t="s">
        <v>867</v>
      </c>
      <c r="F214" s="9" t="s">
        <v>807</v>
      </c>
      <c r="G214" s="12"/>
      <c r="H214" s="12"/>
      <c r="I214" s="12"/>
      <c r="J214" s="13">
        <v>68</v>
      </c>
      <c r="K214" s="13">
        <v>71</v>
      </c>
      <c r="L214" s="13">
        <v>73</v>
      </c>
      <c r="M214" s="13">
        <v>74</v>
      </c>
      <c r="N214" s="14">
        <v>1.2166666666666666</v>
      </c>
      <c r="O214" s="14">
        <v>1.2333333333333334</v>
      </c>
    </row>
    <row r="215" spans="1:15">
      <c r="A215" s="9" t="s">
        <v>868</v>
      </c>
      <c r="B215" s="9" t="s">
        <v>869</v>
      </c>
      <c r="C215" s="9" t="s">
        <v>20</v>
      </c>
      <c r="D215" s="9" t="s">
        <v>870</v>
      </c>
      <c r="E215" s="11" t="s">
        <v>871</v>
      </c>
      <c r="F215" s="9" t="s">
        <v>807</v>
      </c>
      <c r="G215" s="12"/>
      <c r="H215" s="12"/>
      <c r="I215" s="12"/>
      <c r="J215" s="13">
        <v>58</v>
      </c>
      <c r="K215" s="13">
        <v>61</v>
      </c>
      <c r="L215" s="13">
        <v>62</v>
      </c>
      <c r="M215" s="13">
        <v>64</v>
      </c>
      <c r="N215" s="14">
        <v>1.0333333333333334</v>
      </c>
      <c r="O215" s="14">
        <v>1.0666666666666667</v>
      </c>
    </row>
    <row r="216" spans="1:15">
      <c r="A216" s="9" t="s">
        <v>872</v>
      </c>
      <c r="B216" s="9" t="s">
        <v>873</v>
      </c>
      <c r="C216" s="9" t="s">
        <v>20</v>
      </c>
      <c r="D216" s="9" t="s">
        <v>874</v>
      </c>
      <c r="E216" s="11" t="s">
        <v>875</v>
      </c>
      <c r="F216" s="9" t="s">
        <v>807</v>
      </c>
      <c r="G216" s="12"/>
      <c r="H216" s="12"/>
      <c r="I216" s="12"/>
      <c r="J216" s="13">
        <v>68</v>
      </c>
      <c r="K216" s="13">
        <v>71</v>
      </c>
      <c r="L216" s="13">
        <v>73</v>
      </c>
      <c r="M216" s="13">
        <v>74</v>
      </c>
      <c r="N216" s="14">
        <v>1.2166666666666666</v>
      </c>
      <c r="O216" s="14">
        <v>1.2333333333333334</v>
      </c>
    </row>
    <row r="217" spans="1:15">
      <c r="A217" s="9" t="s">
        <v>876</v>
      </c>
      <c r="B217" s="9" t="s">
        <v>877</v>
      </c>
      <c r="C217" s="9" t="s">
        <v>20</v>
      </c>
      <c r="D217" s="9" t="s">
        <v>878</v>
      </c>
      <c r="E217" s="11" t="s">
        <v>879</v>
      </c>
      <c r="F217" s="9" t="s">
        <v>807</v>
      </c>
      <c r="G217" s="12"/>
      <c r="H217" s="12"/>
      <c r="I217" s="12"/>
      <c r="J217" s="13">
        <v>68</v>
      </c>
      <c r="K217" s="13">
        <v>71</v>
      </c>
      <c r="L217" s="13">
        <v>73</v>
      </c>
      <c r="M217" s="13">
        <v>74</v>
      </c>
      <c r="N217" s="14">
        <v>1.2166666666666666</v>
      </c>
      <c r="O217" s="14">
        <v>1.2333333333333334</v>
      </c>
    </row>
    <row r="218" spans="1:15">
      <c r="A218" s="9" t="s">
        <v>880</v>
      </c>
      <c r="B218" s="10" t="s">
        <v>881</v>
      </c>
      <c r="C218" s="9" t="s">
        <v>59</v>
      </c>
      <c r="D218" s="9" t="s">
        <v>882</v>
      </c>
      <c r="E218" s="11" t="s">
        <v>883</v>
      </c>
      <c r="F218" s="9" t="s">
        <v>807</v>
      </c>
      <c r="G218" s="12"/>
      <c r="H218" s="12"/>
      <c r="I218" s="12"/>
      <c r="J218" s="13" t="e">
        <v>#N/A</v>
      </c>
      <c r="K218" s="13" t="e">
        <v>#N/A</v>
      </c>
      <c r="L218" s="13" t="e">
        <v>#N/A</v>
      </c>
      <c r="M218" s="13" t="e">
        <v>#N/A</v>
      </c>
      <c r="N218" s="14" t="e">
        <v>#N/A</v>
      </c>
      <c r="O218" s="14" t="e">
        <v>#N/A</v>
      </c>
    </row>
    <row r="219" spans="1:15">
      <c r="A219" s="10" t="s">
        <v>884</v>
      </c>
      <c r="B219" s="10" t="s">
        <v>885</v>
      </c>
      <c r="C219" s="10" t="s">
        <v>92</v>
      </c>
      <c r="D219" s="10" t="s">
        <v>886</v>
      </c>
      <c r="E219" s="11" t="s">
        <v>887</v>
      </c>
      <c r="F219" s="9" t="s">
        <v>807</v>
      </c>
      <c r="G219" s="12"/>
      <c r="H219" s="12"/>
      <c r="I219" s="12"/>
      <c r="J219" s="13">
        <v>68</v>
      </c>
      <c r="K219" s="13">
        <v>71</v>
      </c>
      <c r="L219" s="13">
        <v>73</v>
      </c>
      <c r="M219" s="13">
        <v>74</v>
      </c>
      <c r="N219" s="14">
        <v>1.2166666666666666</v>
      </c>
      <c r="O219" s="14">
        <v>1.2333333333333334</v>
      </c>
    </row>
    <row r="220" spans="1:15">
      <c r="A220" s="9" t="s">
        <v>888</v>
      </c>
      <c r="B220" s="9" t="s">
        <v>889</v>
      </c>
      <c r="C220" s="9" t="s">
        <v>20</v>
      </c>
      <c r="D220" s="9" t="s">
        <v>890</v>
      </c>
      <c r="E220" s="11" t="s">
        <v>891</v>
      </c>
      <c r="F220" s="9" t="s">
        <v>807</v>
      </c>
      <c r="G220" s="12"/>
      <c r="H220" s="12"/>
      <c r="I220" s="12"/>
      <c r="J220" s="13">
        <v>68</v>
      </c>
      <c r="K220" s="13">
        <v>71</v>
      </c>
      <c r="L220" s="13">
        <v>73</v>
      </c>
      <c r="M220" s="13">
        <v>74</v>
      </c>
      <c r="N220" s="14">
        <v>1.2166666666666666</v>
      </c>
      <c r="O220" s="14">
        <v>1.2333333333333334</v>
      </c>
    </row>
    <row r="221" spans="1:15">
      <c r="A221" s="10" t="s">
        <v>892</v>
      </c>
      <c r="B221" s="10" t="s">
        <v>893</v>
      </c>
      <c r="C221" s="10" t="s">
        <v>92</v>
      </c>
      <c r="D221" s="10" t="s">
        <v>894</v>
      </c>
      <c r="E221" s="11" t="s">
        <v>895</v>
      </c>
      <c r="F221" s="9" t="s">
        <v>807</v>
      </c>
      <c r="G221" s="12"/>
      <c r="H221" s="12"/>
      <c r="I221" s="12"/>
      <c r="J221" s="13">
        <v>72</v>
      </c>
      <c r="K221" s="13">
        <v>75</v>
      </c>
      <c r="L221" s="13">
        <v>77</v>
      </c>
      <c r="M221" s="13">
        <v>78</v>
      </c>
      <c r="N221" s="14">
        <v>1.2833333333333334</v>
      </c>
      <c r="O221" s="14">
        <v>1.3</v>
      </c>
    </row>
    <row r="222" spans="1:15">
      <c r="A222" s="9" t="s">
        <v>896</v>
      </c>
      <c r="B222" s="9" t="s">
        <v>897</v>
      </c>
      <c r="C222" s="9" t="s">
        <v>20</v>
      </c>
      <c r="D222" s="9" t="s">
        <v>898</v>
      </c>
      <c r="E222" s="11" t="s">
        <v>899</v>
      </c>
      <c r="F222" s="9" t="s">
        <v>807</v>
      </c>
      <c r="G222" s="12"/>
      <c r="H222" s="12"/>
      <c r="I222" s="12"/>
      <c r="J222" s="13">
        <v>68</v>
      </c>
      <c r="K222" s="13">
        <v>71</v>
      </c>
      <c r="L222" s="13">
        <v>73</v>
      </c>
      <c r="M222" s="13">
        <v>74</v>
      </c>
      <c r="N222" s="14">
        <v>1.2166666666666666</v>
      </c>
      <c r="O222" s="14">
        <v>1.2333333333333334</v>
      </c>
    </row>
    <row r="223" spans="1:15">
      <c r="A223" s="9" t="s">
        <v>900</v>
      </c>
      <c r="B223" s="9" t="s">
        <v>901</v>
      </c>
      <c r="C223" s="9" t="s">
        <v>59</v>
      </c>
      <c r="D223" s="9" t="s">
        <v>902</v>
      </c>
      <c r="E223" s="11" t="s">
        <v>903</v>
      </c>
      <c r="F223" s="9" t="s">
        <v>807</v>
      </c>
      <c r="G223" s="12"/>
      <c r="H223" s="12"/>
      <c r="I223" s="12"/>
      <c r="J223" s="13">
        <v>74</v>
      </c>
      <c r="K223" s="13">
        <v>77</v>
      </c>
      <c r="L223" s="13">
        <v>79</v>
      </c>
      <c r="M223" s="13">
        <v>81</v>
      </c>
      <c r="N223" s="14">
        <v>1.3166666666666667</v>
      </c>
      <c r="O223" s="14">
        <v>1.35</v>
      </c>
    </row>
    <row r="224" spans="1:15">
      <c r="A224" s="9" t="s">
        <v>904</v>
      </c>
      <c r="B224" s="10" t="s">
        <v>905</v>
      </c>
      <c r="C224" s="10" t="s">
        <v>368</v>
      </c>
      <c r="D224" s="10" t="s">
        <v>906</v>
      </c>
      <c r="E224" s="11" t="e">
        <v>#N/A</v>
      </c>
      <c r="F224" s="9" t="s">
        <v>807</v>
      </c>
      <c r="G224" s="12"/>
      <c r="H224" s="12"/>
      <c r="I224" s="12"/>
      <c r="J224" s="13">
        <v>72</v>
      </c>
      <c r="K224" s="13">
        <v>75</v>
      </c>
      <c r="L224" s="13">
        <v>77</v>
      </c>
      <c r="M224" s="13">
        <v>78</v>
      </c>
      <c r="N224" s="14">
        <v>1.2833333333333334</v>
      </c>
      <c r="O224" s="14">
        <v>1.3</v>
      </c>
    </row>
    <row r="225" spans="1:15">
      <c r="A225" s="9" t="s">
        <v>907</v>
      </c>
      <c r="B225" s="10" t="s">
        <v>908</v>
      </c>
      <c r="C225" s="10" t="s">
        <v>20</v>
      </c>
      <c r="D225" s="10" t="s">
        <v>909</v>
      </c>
      <c r="E225" s="11" t="s">
        <v>910</v>
      </c>
      <c r="F225" s="9" t="s">
        <v>807</v>
      </c>
      <c r="G225" s="12"/>
      <c r="H225" s="12"/>
      <c r="I225" s="12"/>
      <c r="J225" s="13">
        <v>68</v>
      </c>
      <c r="K225" s="13">
        <v>71</v>
      </c>
      <c r="L225" s="13">
        <v>73</v>
      </c>
      <c r="M225" s="13">
        <v>74</v>
      </c>
      <c r="N225" s="14">
        <v>1.2166666666666666</v>
      </c>
      <c r="O225" s="14">
        <v>1.2333333333333334</v>
      </c>
    </row>
    <row r="226" spans="1:15">
      <c r="A226" s="9" t="s">
        <v>911</v>
      </c>
      <c r="B226" s="10" t="s">
        <v>912</v>
      </c>
      <c r="C226" s="10" t="s">
        <v>59</v>
      </c>
      <c r="D226" s="10" t="s">
        <v>913</v>
      </c>
      <c r="E226" s="11" t="s">
        <v>914</v>
      </c>
      <c r="F226" s="9" t="s">
        <v>807</v>
      </c>
      <c r="G226" s="12"/>
      <c r="H226" s="12"/>
      <c r="I226" s="12"/>
      <c r="J226" s="13">
        <v>68</v>
      </c>
      <c r="K226" s="13">
        <v>71</v>
      </c>
      <c r="L226" s="13">
        <v>73</v>
      </c>
      <c r="M226" s="13">
        <v>74</v>
      </c>
      <c r="N226" s="14">
        <v>1.2166666666666666</v>
      </c>
      <c r="O226" s="14">
        <v>1.2333333333333334</v>
      </c>
    </row>
    <row r="227" spans="1:15">
      <c r="A227" s="9" t="s">
        <v>915</v>
      </c>
      <c r="B227" s="9" t="s">
        <v>916</v>
      </c>
      <c r="C227" s="9" t="s">
        <v>30</v>
      </c>
      <c r="D227" s="9" t="s">
        <v>917</v>
      </c>
      <c r="E227" s="11" t="s">
        <v>918</v>
      </c>
      <c r="F227" s="9" t="s">
        <v>807</v>
      </c>
      <c r="G227" s="12"/>
      <c r="H227" s="12"/>
      <c r="I227" s="12"/>
      <c r="J227" s="13" t="e">
        <v>#N/A</v>
      </c>
      <c r="K227" s="13" t="e">
        <v>#N/A</v>
      </c>
      <c r="L227" s="13" t="e">
        <v>#N/A</v>
      </c>
      <c r="M227" s="13" t="e">
        <v>#N/A</v>
      </c>
      <c r="N227" s="14" t="e">
        <v>#N/A</v>
      </c>
      <c r="O227" s="14" t="e">
        <v>#N/A</v>
      </c>
    </row>
    <row r="228" spans="1:15" ht="15">
      <c r="A228" s="10" t="s">
        <v>919</v>
      </c>
      <c r="B228" s="3" t="s">
        <v>920</v>
      </c>
      <c r="C228" s="10" t="s">
        <v>164</v>
      </c>
      <c r="D228" s="10" t="s">
        <v>921</v>
      </c>
      <c r="E228" s="11" t="s">
        <v>827</v>
      </c>
      <c r="F228" s="9" t="s">
        <v>807</v>
      </c>
      <c r="G228" s="12"/>
      <c r="H228" s="12"/>
      <c r="I228" s="12"/>
      <c r="J228" s="13">
        <v>70</v>
      </c>
      <c r="K228" s="13">
        <v>73</v>
      </c>
      <c r="L228" s="13">
        <v>75</v>
      </c>
      <c r="M228" s="13">
        <v>76</v>
      </c>
      <c r="N228" s="14">
        <v>1.25</v>
      </c>
      <c r="O228" s="14">
        <v>1.2666666666666666</v>
      </c>
    </row>
    <row r="229" spans="1:15">
      <c r="A229" s="9" t="s">
        <v>922</v>
      </c>
      <c r="B229" s="9" t="s">
        <v>923</v>
      </c>
      <c r="C229" s="9" t="s">
        <v>20</v>
      </c>
      <c r="D229" s="9" t="s">
        <v>924</v>
      </c>
      <c r="E229" s="11" t="s">
        <v>925</v>
      </c>
      <c r="F229" s="9" t="s">
        <v>807</v>
      </c>
      <c r="G229" s="12"/>
      <c r="H229" s="12"/>
      <c r="I229" s="12"/>
      <c r="J229" s="13">
        <v>68</v>
      </c>
      <c r="K229" s="13">
        <v>71</v>
      </c>
      <c r="L229" s="13">
        <v>73</v>
      </c>
      <c r="M229" s="13">
        <v>74</v>
      </c>
      <c r="N229" s="14">
        <v>1.2166666666666666</v>
      </c>
      <c r="O229" s="14">
        <v>1.2333333333333334</v>
      </c>
    </row>
    <row r="230" spans="1:15">
      <c r="A230" s="9" t="s">
        <v>926</v>
      </c>
      <c r="B230" s="9" t="s">
        <v>927</v>
      </c>
      <c r="C230" s="9" t="s">
        <v>20</v>
      </c>
      <c r="D230" s="9" t="s">
        <v>928</v>
      </c>
      <c r="E230" s="11" t="s">
        <v>929</v>
      </c>
      <c r="F230" s="9" t="s">
        <v>807</v>
      </c>
      <c r="G230" s="12"/>
      <c r="H230" s="12"/>
      <c r="I230" s="12"/>
      <c r="J230" s="13">
        <v>68</v>
      </c>
      <c r="K230" s="13">
        <v>71</v>
      </c>
      <c r="L230" s="13">
        <v>73</v>
      </c>
      <c r="M230" s="13">
        <v>74</v>
      </c>
      <c r="N230" s="14">
        <v>1.2166666666666666</v>
      </c>
      <c r="O230" s="14">
        <v>1.2333333333333334</v>
      </c>
    </row>
    <row r="231" spans="1:15">
      <c r="A231" s="33" t="s">
        <v>930</v>
      </c>
      <c r="B231" s="9" t="s">
        <v>931</v>
      </c>
      <c r="C231" s="9" t="s">
        <v>164</v>
      </c>
      <c r="D231" s="9" t="s">
        <v>932</v>
      </c>
      <c r="E231" s="11" t="s">
        <v>933</v>
      </c>
      <c r="F231" s="9" t="s">
        <v>807</v>
      </c>
      <c r="G231" s="12"/>
      <c r="H231" s="12"/>
      <c r="I231" s="12"/>
      <c r="J231" s="13">
        <v>74</v>
      </c>
      <c r="K231" s="13">
        <v>77</v>
      </c>
      <c r="L231" s="13">
        <v>79</v>
      </c>
      <c r="M231" s="13">
        <v>81</v>
      </c>
      <c r="N231" s="14">
        <v>1.3166666666666667</v>
      </c>
      <c r="O231" s="14">
        <v>1.35</v>
      </c>
    </row>
    <row r="232" spans="1:15">
      <c r="A232" s="9" t="s">
        <v>934</v>
      </c>
      <c r="B232" s="9" t="s">
        <v>935</v>
      </c>
      <c r="C232" s="9" t="s">
        <v>30</v>
      </c>
      <c r="D232" s="9" t="s">
        <v>936</v>
      </c>
      <c r="E232" s="11" t="s">
        <v>937</v>
      </c>
      <c r="F232" s="9" t="s">
        <v>807</v>
      </c>
      <c r="G232" s="12"/>
      <c r="H232" s="12"/>
      <c r="I232" s="12"/>
      <c r="J232" s="13">
        <v>74</v>
      </c>
      <c r="K232" s="13">
        <v>77</v>
      </c>
      <c r="L232" s="13">
        <v>79</v>
      </c>
      <c r="M232" s="13">
        <v>81</v>
      </c>
      <c r="N232" s="14">
        <v>1.3166666666666667</v>
      </c>
      <c r="O232" s="14">
        <v>1.35</v>
      </c>
    </row>
    <row r="233" spans="1:15">
      <c r="A233" s="9" t="s">
        <v>938</v>
      </c>
      <c r="B233" s="10" t="s">
        <v>939</v>
      </c>
      <c r="C233" s="10" t="s">
        <v>20</v>
      </c>
      <c r="D233" s="10" t="s">
        <v>940</v>
      </c>
      <c r="E233" s="11" t="s">
        <v>941</v>
      </c>
      <c r="F233" s="9" t="s">
        <v>807</v>
      </c>
      <c r="G233" s="12"/>
      <c r="H233" s="12"/>
      <c r="I233" s="12"/>
      <c r="J233" s="13">
        <v>72</v>
      </c>
      <c r="K233" s="13">
        <v>75</v>
      </c>
      <c r="L233" s="13">
        <v>77</v>
      </c>
      <c r="M233" s="13">
        <v>78</v>
      </c>
      <c r="N233" s="14">
        <v>1.2833333333333334</v>
      </c>
      <c r="O233" s="14">
        <v>1.3</v>
      </c>
    </row>
    <row r="234" spans="1:15">
      <c r="A234" s="9" t="s">
        <v>942</v>
      </c>
      <c r="B234" s="9" t="s">
        <v>943</v>
      </c>
      <c r="C234" s="9" t="s">
        <v>20</v>
      </c>
      <c r="D234" s="9" t="s">
        <v>944</v>
      </c>
      <c r="E234" s="11" t="s">
        <v>945</v>
      </c>
      <c r="F234" s="9" t="s">
        <v>807</v>
      </c>
      <c r="G234" s="12"/>
      <c r="H234" s="12"/>
      <c r="I234" s="12"/>
      <c r="J234" s="13">
        <v>72</v>
      </c>
      <c r="K234" s="13">
        <v>75</v>
      </c>
      <c r="L234" s="13">
        <v>77</v>
      </c>
      <c r="M234" s="13">
        <v>78</v>
      </c>
      <c r="N234" s="14">
        <v>1.2833333333333334</v>
      </c>
      <c r="O234" s="14">
        <v>1.3</v>
      </c>
    </row>
    <row r="235" spans="1:15">
      <c r="A235" s="9" t="s">
        <v>946</v>
      </c>
      <c r="B235" s="9" t="s">
        <v>947</v>
      </c>
      <c r="C235" s="9" t="s">
        <v>164</v>
      </c>
      <c r="D235" s="9" t="s">
        <v>948</v>
      </c>
      <c r="E235" s="11" t="s">
        <v>949</v>
      </c>
      <c r="F235" s="9" t="s">
        <v>807</v>
      </c>
      <c r="G235" s="12"/>
      <c r="H235" s="12"/>
      <c r="I235" s="12"/>
      <c r="J235" s="13" t="e">
        <v>#N/A</v>
      </c>
      <c r="K235" s="13" t="e">
        <v>#N/A</v>
      </c>
      <c r="L235" s="13" t="e">
        <v>#N/A</v>
      </c>
      <c r="M235" s="13" t="e">
        <v>#N/A</v>
      </c>
      <c r="N235" s="14" t="e">
        <v>#N/A</v>
      </c>
      <c r="O235" s="14" t="e">
        <v>#N/A</v>
      </c>
    </row>
    <row r="236" spans="1:15">
      <c r="A236" s="9" t="s">
        <v>950</v>
      </c>
      <c r="B236" s="9" t="s">
        <v>951</v>
      </c>
      <c r="C236" s="9" t="s">
        <v>164</v>
      </c>
      <c r="D236" s="9" t="s">
        <v>952</v>
      </c>
      <c r="E236" s="11" t="s">
        <v>937</v>
      </c>
      <c r="F236" s="9" t="s">
        <v>807</v>
      </c>
      <c r="G236" s="12"/>
      <c r="H236" s="12"/>
      <c r="I236" s="12"/>
      <c r="J236" s="13" t="e">
        <v>#N/A</v>
      </c>
      <c r="K236" s="13" t="e">
        <v>#N/A</v>
      </c>
      <c r="L236" s="13" t="e">
        <v>#N/A</v>
      </c>
      <c r="M236" s="13" t="e">
        <v>#N/A</v>
      </c>
      <c r="N236" s="14" t="e">
        <v>#N/A</v>
      </c>
      <c r="O236" s="14" t="e">
        <v>#N/A</v>
      </c>
    </row>
    <row r="237" spans="1:15">
      <c r="A237" s="9" t="s">
        <v>953</v>
      </c>
      <c r="B237" s="9" t="s">
        <v>954</v>
      </c>
      <c r="C237" s="9" t="s">
        <v>20</v>
      </c>
      <c r="D237" s="9" t="s">
        <v>955</v>
      </c>
      <c r="E237" s="11" t="s">
        <v>949</v>
      </c>
      <c r="F237" s="9" t="s">
        <v>807</v>
      </c>
      <c r="G237" s="12"/>
      <c r="H237" s="12"/>
      <c r="I237" s="12"/>
      <c r="J237" s="13">
        <v>72</v>
      </c>
      <c r="K237" s="13">
        <v>75</v>
      </c>
      <c r="L237" s="13">
        <v>77</v>
      </c>
      <c r="M237" s="13">
        <v>78</v>
      </c>
      <c r="N237" s="14">
        <v>1.2833333333333334</v>
      </c>
      <c r="O237" s="14">
        <v>1.3</v>
      </c>
    </row>
    <row r="238" spans="1:15">
      <c r="A238" s="9" t="s">
        <v>956</v>
      </c>
      <c r="B238" s="9" t="s">
        <v>957</v>
      </c>
      <c r="C238" s="9" t="s">
        <v>20</v>
      </c>
      <c r="D238" s="9" t="s">
        <v>958</v>
      </c>
      <c r="E238" s="11" t="s">
        <v>959</v>
      </c>
      <c r="F238" s="9" t="s">
        <v>807</v>
      </c>
      <c r="G238" s="12"/>
      <c r="H238" s="12"/>
      <c r="I238" s="12"/>
      <c r="J238" s="13">
        <v>72</v>
      </c>
      <c r="K238" s="13">
        <v>75</v>
      </c>
      <c r="L238" s="13">
        <v>77</v>
      </c>
      <c r="M238" s="13">
        <v>78</v>
      </c>
      <c r="N238" s="14">
        <v>1.2833333333333334</v>
      </c>
      <c r="O238" s="14">
        <v>1.3</v>
      </c>
    </row>
    <row r="239" spans="1:15">
      <c r="A239" s="33" t="s">
        <v>960</v>
      </c>
      <c r="B239" s="9" t="s">
        <v>961</v>
      </c>
      <c r="C239" s="9" t="s">
        <v>20</v>
      </c>
      <c r="D239" s="9" t="s">
        <v>962</v>
      </c>
      <c r="E239" s="11" t="s">
        <v>963</v>
      </c>
      <c r="F239" s="9" t="s">
        <v>807</v>
      </c>
      <c r="G239" s="12"/>
      <c r="H239" s="12"/>
      <c r="I239" s="12"/>
      <c r="J239" s="13">
        <v>74</v>
      </c>
      <c r="K239" s="13">
        <v>77</v>
      </c>
      <c r="L239" s="13">
        <v>79</v>
      </c>
      <c r="M239" s="13">
        <v>81</v>
      </c>
      <c r="N239" s="14">
        <v>1.3166666666666667</v>
      </c>
      <c r="O239" s="14">
        <v>1.35</v>
      </c>
    </row>
    <row r="240" spans="1:15">
      <c r="A240" s="9" t="s">
        <v>964</v>
      </c>
      <c r="B240" s="9" t="s">
        <v>965</v>
      </c>
      <c r="C240" s="9" t="s">
        <v>59</v>
      </c>
      <c r="D240" s="9" t="s">
        <v>966</v>
      </c>
      <c r="E240" s="11" t="s">
        <v>967</v>
      </c>
      <c r="F240" s="9" t="s">
        <v>807</v>
      </c>
      <c r="G240" s="12"/>
      <c r="H240" s="12"/>
      <c r="I240" s="12"/>
      <c r="J240" s="13" t="e">
        <v>#N/A</v>
      </c>
      <c r="K240" s="13" t="e">
        <v>#N/A</v>
      </c>
      <c r="L240" s="13" t="e">
        <v>#N/A</v>
      </c>
      <c r="M240" s="13" t="e">
        <v>#N/A</v>
      </c>
      <c r="N240" s="14" t="e">
        <v>#N/A</v>
      </c>
      <c r="O240" s="14" t="e">
        <v>#N/A</v>
      </c>
    </row>
    <row r="241" spans="1:15">
      <c r="A241" s="9" t="s">
        <v>968</v>
      </c>
      <c r="B241" s="9" t="s">
        <v>969</v>
      </c>
      <c r="C241" s="9" t="s">
        <v>20</v>
      </c>
      <c r="D241" s="9" t="s">
        <v>970</v>
      </c>
      <c r="E241" s="11" t="s">
        <v>971</v>
      </c>
      <c r="F241" s="9" t="s">
        <v>807</v>
      </c>
      <c r="G241" s="12"/>
      <c r="H241" s="12"/>
      <c r="I241" s="12"/>
      <c r="J241" s="13">
        <v>72</v>
      </c>
      <c r="K241" s="13">
        <v>75</v>
      </c>
      <c r="L241" s="13">
        <v>77</v>
      </c>
      <c r="M241" s="13">
        <v>78</v>
      </c>
      <c r="N241" s="14">
        <v>1.2833333333333334</v>
      </c>
      <c r="O241" s="14">
        <v>1.3</v>
      </c>
    </row>
    <row r="242" spans="1:15">
      <c r="A242" s="9" t="s">
        <v>972</v>
      </c>
      <c r="B242" s="10" t="s">
        <v>973</v>
      </c>
      <c r="C242" s="10" t="s">
        <v>30</v>
      </c>
      <c r="D242" s="10" t="s">
        <v>974</v>
      </c>
      <c r="E242" s="11" t="s">
        <v>975</v>
      </c>
      <c r="F242" s="9" t="s">
        <v>976</v>
      </c>
      <c r="G242" s="12"/>
      <c r="H242" s="12"/>
      <c r="I242" s="12"/>
      <c r="J242" s="13">
        <v>70</v>
      </c>
      <c r="K242" s="13">
        <v>73</v>
      </c>
      <c r="L242" s="13">
        <v>75</v>
      </c>
      <c r="M242" s="13">
        <v>76</v>
      </c>
      <c r="N242" s="14">
        <v>1.25</v>
      </c>
      <c r="O242" s="14">
        <v>1.2666666666666666</v>
      </c>
    </row>
    <row r="243" spans="1:15">
      <c r="A243" s="9" t="s">
        <v>977</v>
      </c>
      <c r="B243" s="10" t="s">
        <v>978</v>
      </c>
      <c r="C243" s="10" t="s">
        <v>20</v>
      </c>
      <c r="D243" s="10" t="s">
        <v>979</v>
      </c>
      <c r="E243" s="11" t="s">
        <v>980</v>
      </c>
      <c r="F243" s="9" t="s">
        <v>976</v>
      </c>
      <c r="G243" s="12"/>
      <c r="H243" s="12"/>
      <c r="I243" s="12"/>
      <c r="J243" s="13">
        <v>62</v>
      </c>
      <c r="K243" s="13">
        <v>65</v>
      </c>
      <c r="L243" s="13">
        <v>66</v>
      </c>
      <c r="M243" s="13">
        <v>68</v>
      </c>
      <c r="N243" s="14">
        <v>1.1000000000000001</v>
      </c>
      <c r="O243" s="14">
        <v>1.1333333333333333</v>
      </c>
    </row>
    <row r="244" spans="1:15">
      <c r="A244" s="9" t="s">
        <v>981</v>
      </c>
      <c r="B244" s="10" t="s">
        <v>982</v>
      </c>
      <c r="C244" s="10" t="s">
        <v>30</v>
      </c>
      <c r="D244" s="10" t="s">
        <v>983</v>
      </c>
      <c r="E244" s="11" t="s">
        <v>984</v>
      </c>
      <c r="F244" s="9" t="s">
        <v>976</v>
      </c>
      <c r="G244" s="12"/>
      <c r="H244" s="12"/>
      <c r="I244" s="12"/>
      <c r="J244" s="13">
        <v>69</v>
      </c>
      <c r="K244" s="13">
        <v>72</v>
      </c>
      <c r="L244" s="13">
        <v>74</v>
      </c>
      <c r="M244" s="13">
        <v>75</v>
      </c>
      <c r="N244" s="14">
        <v>1.2333333333333334</v>
      </c>
      <c r="O244" s="14">
        <v>1.25</v>
      </c>
    </row>
    <row r="245" spans="1:15">
      <c r="A245" s="9" t="s">
        <v>985</v>
      </c>
      <c r="B245" s="10" t="s">
        <v>986</v>
      </c>
      <c r="C245" s="10" t="s">
        <v>16</v>
      </c>
      <c r="D245" s="10" t="s">
        <v>987</v>
      </c>
      <c r="E245" s="11" t="e">
        <v>#N/A</v>
      </c>
      <c r="F245" s="9" t="s">
        <v>976</v>
      </c>
      <c r="G245" s="12"/>
      <c r="H245" s="12"/>
      <c r="I245" s="12"/>
      <c r="J245" s="13" t="e">
        <v>#N/A</v>
      </c>
      <c r="K245" s="13" t="e">
        <v>#N/A</v>
      </c>
      <c r="L245" s="13" t="e">
        <v>#N/A</v>
      </c>
      <c r="M245" s="13" t="e">
        <v>#N/A</v>
      </c>
      <c r="N245" s="14" t="e">
        <v>#N/A</v>
      </c>
      <c r="O245" s="14" t="e">
        <v>#N/A</v>
      </c>
    </row>
    <row r="246" spans="1:15">
      <c r="A246" s="9" t="s">
        <v>988</v>
      </c>
      <c r="B246" s="9" t="s">
        <v>989</v>
      </c>
      <c r="C246" s="9" t="s">
        <v>20</v>
      </c>
      <c r="D246" s="9" t="s">
        <v>990</v>
      </c>
      <c r="E246" s="11" t="s">
        <v>991</v>
      </c>
      <c r="F246" s="9" t="s">
        <v>976</v>
      </c>
      <c r="G246" s="12"/>
      <c r="H246" s="12"/>
      <c r="I246" s="12"/>
      <c r="J246" s="13">
        <v>70</v>
      </c>
      <c r="K246" s="13">
        <v>73</v>
      </c>
      <c r="L246" s="13">
        <v>75</v>
      </c>
      <c r="M246" s="13">
        <v>76</v>
      </c>
      <c r="N246" s="14">
        <v>1.25</v>
      </c>
      <c r="O246" s="14">
        <v>1.2666666666666666</v>
      </c>
    </row>
    <row r="247" spans="1:15">
      <c r="A247" s="9" t="s">
        <v>992</v>
      </c>
      <c r="B247" s="9" t="s">
        <v>993</v>
      </c>
      <c r="C247" s="9" t="s">
        <v>20</v>
      </c>
      <c r="D247" s="9" t="s">
        <v>994</v>
      </c>
      <c r="E247" s="11" t="s">
        <v>995</v>
      </c>
      <c r="F247" s="9" t="s">
        <v>976</v>
      </c>
      <c r="G247" s="12"/>
      <c r="H247" s="12"/>
      <c r="I247" s="12"/>
      <c r="J247" s="13">
        <v>70</v>
      </c>
      <c r="K247" s="13">
        <v>73</v>
      </c>
      <c r="L247" s="13">
        <v>75</v>
      </c>
      <c r="M247" s="13">
        <v>76</v>
      </c>
      <c r="N247" s="14">
        <v>1.25</v>
      </c>
      <c r="O247" s="14">
        <v>1.2666666666666666</v>
      </c>
    </row>
    <row r="248" spans="1:15">
      <c r="A248" s="9" t="s">
        <v>996</v>
      </c>
      <c r="B248" s="9" t="s">
        <v>997</v>
      </c>
      <c r="C248" s="9" t="s">
        <v>20</v>
      </c>
      <c r="D248" s="9" t="s">
        <v>998</v>
      </c>
      <c r="E248" s="11" t="s">
        <v>999</v>
      </c>
      <c r="F248" s="9" t="s">
        <v>976</v>
      </c>
      <c r="G248" s="12"/>
      <c r="H248" s="12"/>
      <c r="I248" s="12"/>
      <c r="J248" s="13">
        <v>70</v>
      </c>
      <c r="K248" s="13">
        <v>73</v>
      </c>
      <c r="L248" s="13">
        <v>75</v>
      </c>
      <c r="M248" s="13">
        <v>76</v>
      </c>
      <c r="N248" s="14">
        <v>1.25</v>
      </c>
      <c r="O248" s="14">
        <v>1.2666666666666666</v>
      </c>
    </row>
    <row r="249" spans="1:15">
      <c r="A249" s="9" t="s">
        <v>1000</v>
      </c>
      <c r="B249" s="9" t="s">
        <v>1001</v>
      </c>
      <c r="C249" s="9" t="s">
        <v>20</v>
      </c>
      <c r="D249" s="9" t="s">
        <v>1002</v>
      </c>
      <c r="E249" s="11" t="s">
        <v>1003</v>
      </c>
      <c r="F249" s="9" t="s">
        <v>976</v>
      </c>
      <c r="G249" s="12"/>
      <c r="H249" s="12"/>
      <c r="I249" s="12"/>
      <c r="J249" s="13">
        <v>70</v>
      </c>
      <c r="K249" s="13">
        <v>73</v>
      </c>
      <c r="L249" s="13">
        <v>75</v>
      </c>
      <c r="M249" s="13">
        <v>76</v>
      </c>
      <c r="N249" s="14">
        <v>1.25</v>
      </c>
      <c r="O249" s="14">
        <v>1.2666666666666666</v>
      </c>
    </row>
    <row r="250" spans="1:15">
      <c r="A250" s="9" t="s">
        <v>1004</v>
      </c>
      <c r="B250" s="9" t="s">
        <v>1005</v>
      </c>
      <c r="C250" s="9" t="s">
        <v>30</v>
      </c>
      <c r="D250" s="9" t="s">
        <v>1006</v>
      </c>
      <c r="E250" s="11" t="s">
        <v>1007</v>
      </c>
      <c r="F250" s="9" t="s">
        <v>976</v>
      </c>
      <c r="G250" s="12"/>
      <c r="H250" s="12"/>
      <c r="I250" s="12"/>
      <c r="J250" s="13">
        <v>74</v>
      </c>
      <c r="K250" s="13">
        <v>77</v>
      </c>
      <c r="L250" s="13">
        <v>79</v>
      </c>
      <c r="M250" s="13">
        <v>81</v>
      </c>
      <c r="N250" s="14">
        <v>1.3166666666666667</v>
      </c>
      <c r="O250" s="14">
        <v>1.35</v>
      </c>
    </row>
    <row r="251" spans="1:15">
      <c r="A251" s="9" t="s">
        <v>1008</v>
      </c>
      <c r="B251" s="9" t="s">
        <v>1009</v>
      </c>
      <c r="C251" s="9" t="s">
        <v>20</v>
      </c>
      <c r="D251" s="9" t="s">
        <v>1010</v>
      </c>
      <c r="E251" s="11" t="s">
        <v>1011</v>
      </c>
      <c r="F251" s="9" t="s">
        <v>976</v>
      </c>
      <c r="G251" s="12"/>
      <c r="H251" s="12"/>
      <c r="I251" s="12"/>
      <c r="J251" s="13">
        <v>70</v>
      </c>
      <c r="K251" s="13">
        <v>73</v>
      </c>
      <c r="L251" s="13">
        <v>75</v>
      </c>
      <c r="M251" s="13">
        <v>76</v>
      </c>
      <c r="N251" s="14">
        <v>1.25</v>
      </c>
      <c r="O251" s="14">
        <v>1.2666666666666666</v>
      </c>
    </row>
    <row r="252" spans="1:15">
      <c r="A252" s="9" t="s">
        <v>1012</v>
      </c>
      <c r="B252" s="9" t="s">
        <v>1013</v>
      </c>
      <c r="C252" s="9" t="s">
        <v>30</v>
      </c>
      <c r="D252" s="9" t="s">
        <v>1014</v>
      </c>
      <c r="E252" s="11" t="s">
        <v>1015</v>
      </c>
      <c r="F252" s="9" t="s">
        <v>976</v>
      </c>
      <c r="G252" s="12"/>
      <c r="H252" s="12"/>
      <c r="I252" s="12"/>
      <c r="J252" s="13">
        <v>72</v>
      </c>
      <c r="K252" s="13">
        <v>75</v>
      </c>
      <c r="L252" s="13">
        <v>77</v>
      </c>
      <c r="M252" s="13">
        <v>78</v>
      </c>
      <c r="N252" s="14">
        <v>1.2833333333333334</v>
      </c>
      <c r="O252" s="14">
        <v>1.3</v>
      </c>
    </row>
    <row r="253" spans="1:15">
      <c r="A253" s="9" t="s">
        <v>1016</v>
      </c>
      <c r="B253" s="9" t="s">
        <v>1017</v>
      </c>
      <c r="C253" s="9" t="s">
        <v>20</v>
      </c>
      <c r="D253" s="9" t="s">
        <v>1018</v>
      </c>
      <c r="E253" s="11" t="s">
        <v>1019</v>
      </c>
      <c r="F253" s="9" t="s">
        <v>976</v>
      </c>
      <c r="G253" s="12"/>
      <c r="H253" s="12"/>
      <c r="I253" s="12"/>
      <c r="J253" s="13">
        <v>70</v>
      </c>
      <c r="K253" s="13">
        <v>73</v>
      </c>
      <c r="L253" s="13">
        <v>75</v>
      </c>
      <c r="M253" s="13">
        <v>76</v>
      </c>
      <c r="N253" s="14">
        <v>1.25</v>
      </c>
      <c r="O253" s="14">
        <v>1.2666666666666666</v>
      </c>
    </row>
    <row r="254" spans="1:15">
      <c r="A254" s="10" t="s">
        <v>1020</v>
      </c>
      <c r="B254" s="10" t="s">
        <v>1021</v>
      </c>
      <c r="C254" s="10" t="s">
        <v>164</v>
      </c>
      <c r="D254" s="10" t="s">
        <v>1022</v>
      </c>
      <c r="E254" s="11" t="s">
        <v>1023</v>
      </c>
      <c r="F254" s="9" t="s">
        <v>976</v>
      </c>
      <c r="G254" s="12"/>
      <c r="H254" s="12"/>
      <c r="I254" s="12"/>
      <c r="J254" s="13">
        <v>74</v>
      </c>
      <c r="K254" s="13">
        <v>77</v>
      </c>
      <c r="L254" s="13">
        <v>79</v>
      </c>
      <c r="M254" s="13">
        <v>81</v>
      </c>
      <c r="N254" s="14">
        <v>1.3166666666666667</v>
      </c>
      <c r="O254" s="14">
        <v>1.35</v>
      </c>
    </row>
    <row r="255" spans="1:15">
      <c r="A255" s="9" t="s">
        <v>1024</v>
      </c>
      <c r="B255" s="10" t="s">
        <v>1025</v>
      </c>
      <c r="C255" s="10" t="s">
        <v>368</v>
      </c>
      <c r="D255" s="10" t="s">
        <v>1026</v>
      </c>
      <c r="E255" s="11" t="s">
        <v>1027</v>
      </c>
      <c r="F255" s="9" t="s">
        <v>976</v>
      </c>
      <c r="G255" s="12"/>
      <c r="H255" s="12"/>
      <c r="I255" s="12"/>
      <c r="J255" s="13">
        <v>74</v>
      </c>
      <c r="K255" s="13">
        <v>77</v>
      </c>
      <c r="L255" s="13">
        <v>79</v>
      </c>
      <c r="M255" s="13">
        <v>81</v>
      </c>
      <c r="N255" s="14">
        <v>1.3166666666666667</v>
      </c>
      <c r="O255" s="14">
        <v>1.35</v>
      </c>
    </row>
    <row r="256" spans="1:15">
      <c r="A256" s="9" t="s">
        <v>1028</v>
      </c>
      <c r="B256" s="10" t="s">
        <v>1029</v>
      </c>
      <c r="C256" s="10" t="s">
        <v>20</v>
      </c>
      <c r="D256" s="10" t="s">
        <v>1030</v>
      </c>
      <c r="E256" s="11" t="s">
        <v>1031</v>
      </c>
      <c r="F256" s="9" t="s">
        <v>976</v>
      </c>
      <c r="G256" s="12"/>
      <c r="H256" s="12"/>
      <c r="I256" s="12"/>
      <c r="J256" s="13">
        <v>74</v>
      </c>
      <c r="K256" s="13">
        <v>77</v>
      </c>
      <c r="L256" s="13">
        <v>79</v>
      </c>
      <c r="M256" s="13">
        <v>81</v>
      </c>
      <c r="N256" s="14">
        <v>1.3166666666666667</v>
      </c>
      <c r="O256" s="14">
        <v>1.35</v>
      </c>
    </row>
    <row r="257" spans="1:15">
      <c r="A257" s="10" t="s">
        <v>1032</v>
      </c>
      <c r="B257" s="10" t="s">
        <v>1033</v>
      </c>
      <c r="C257" s="10" t="s">
        <v>20</v>
      </c>
      <c r="D257" s="10" t="s">
        <v>1034</v>
      </c>
      <c r="E257" s="11" t="s">
        <v>1035</v>
      </c>
      <c r="F257" s="9" t="s">
        <v>976</v>
      </c>
      <c r="G257" s="12"/>
      <c r="H257" s="12"/>
      <c r="I257" s="12"/>
      <c r="J257" s="13">
        <v>74</v>
      </c>
      <c r="K257" s="13">
        <v>77</v>
      </c>
      <c r="L257" s="13">
        <v>79</v>
      </c>
      <c r="M257" s="13">
        <v>81</v>
      </c>
      <c r="N257" s="14">
        <v>1.3166666666666667</v>
      </c>
      <c r="O257" s="14">
        <v>1.35</v>
      </c>
    </row>
    <row r="258" spans="1:15">
      <c r="A258" s="9" t="s">
        <v>1036</v>
      </c>
      <c r="B258" s="9" t="s">
        <v>1037</v>
      </c>
      <c r="C258" s="9" t="s">
        <v>20</v>
      </c>
      <c r="D258" s="9" t="s">
        <v>1038</v>
      </c>
      <c r="E258" s="11" t="s">
        <v>1039</v>
      </c>
      <c r="F258" s="9" t="s">
        <v>976</v>
      </c>
      <c r="G258" s="12"/>
      <c r="H258" s="12"/>
      <c r="I258" s="12"/>
      <c r="J258" s="13">
        <v>74</v>
      </c>
      <c r="K258" s="13">
        <v>77</v>
      </c>
      <c r="L258" s="13">
        <v>79</v>
      </c>
      <c r="M258" s="13">
        <v>81</v>
      </c>
      <c r="N258" s="14">
        <v>1.3166666666666667</v>
      </c>
      <c r="O258" s="14">
        <v>1.35</v>
      </c>
    </row>
    <row r="259" spans="1:15">
      <c r="A259" s="9" t="s">
        <v>1040</v>
      </c>
      <c r="B259" s="10" t="s">
        <v>1041</v>
      </c>
      <c r="C259" s="10" t="s">
        <v>59</v>
      </c>
      <c r="D259" s="10" t="s">
        <v>1042</v>
      </c>
      <c r="E259" s="11" t="s">
        <v>1043</v>
      </c>
      <c r="F259" s="9" t="s">
        <v>976</v>
      </c>
      <c r="G259" s="12"/>
      <c r="H259" s="12"/>
      <c r="I259" s="12"/>
      <c r="J259" s="13">
        <v>74</v>
      </c>
      <c r="K259" s="13">
        <v>77</v>
      </c>
      <c r="L259" s="13">
        <v>79</v>
      </c>
      <c r="M259" s="13">
        <v>81</v>
      </c>
      <c r="N259" s="14">
        <v>1.3166666666666667</v>
      </c>
      <c r="O259" s="14">
        <v>1.35</v>
      </c>
    </row>
    <row r="260" spans="1:15">
      <c r="A260" s="9" t="s">
        <v>1044</v>
      </c>
      <c r="B260" s="10" t="s">
        <v>1045</v>
      </c>
      <c r="C260" s="10" t="s">
        <v>20</v>
      </c>
      <c r="D260" s="10" t="s">
        <v>1046</v>
      </c>
      <c r="E260" s="11" t="s">
        <v>1047</v>
      </c>
      <c r="F260" s="9" t="s">
        <v>976</v>
      </c>
      <c r="G260" s="12"/>
      <c r="H260" s="12"/>
      <c r="I260" s="12"/>
      <c r="J260" s="13" t="e">
        <v>#N/A</v>
      </c>
      <c r="K260" s="13" t="e">
        <v>#N/A</v>
      </c>
      <c r="L260" s="13" t="e">
        <v>#N/A</v>
      </c>
      <c r="M260" s="13" t="e">
        <v>#N/A</v>
      </c>
      <c r="N260" s="14" t="e">
        <v>#N/A</v>
      </c>
      <c r="O260" s="14" t="e">
        <v>#N/A</v>
      </c>
    </row>
    <row r="261" spans="1:15">
      <c r="A261" s="9" t="s">
        <v>1048</v>
      </c>
      <c r="B261" s="10" t="s">
        <v>1049</v>
      </c>
      <c r="C261" s="10" t="s">
        <v>30</v>
      </c>
      <c r="D261" s="10" t="s">
        <v>1050</v>
      </c>
      <c r="E261" s="11" t="s">
        <v>1051</v>
      </c>
      <c r="F261" s="9" t="s">
        <v>976</v>
      </c>
      <c r="G261" s="12"/>
      <c r="H261" s="12"/>
      <c r="I261" s="12"/>
      <c r="J261" s="13">
        <v>75</v>
      </c>
      <c r="K261" s="13">
        <v>78</v>
      </c>
      <c r="L261" s="13">
        <v>80</v>
      </c>
      <c r="M261" s="13">
        <v>82</v>
      </c>
      <c r="N261" s="14">
        <v>1.3333333333333333</v>
      </c>
      <c r="O261" s="14">
        <v>1.3666666666666667</v>
      </c>
    </row>
    <row r="262" spans="1:15">
      <c r="A262" s="9" t="s">
        <v>1052</v>
      </c>
      <c r="B262" s="10" t="s">
        <v>1053</v>
      </c>
      <c r="C262" s="10" t="s">
        <v>20</v>
      </c>
      <c r="D262" s="10" t="s">
        <v>1054</v>
      </c>
      <c r="E262" s="11" t="s">
        <v>1055</v>
      </c>
      <c r="F262" s="9" t="s">
        <v>976</v>
      </c>
      <c r="G262" s="12"/>
      <c r="H262" s="12"/>
      <c r="I262" s="12"/>
      <c r="J262" s="13">
        <v>70</v>
      </c>
      <c r="K262" s="13">
        <v>73</v>
      </c>
      <c r="L262" s="13">
        <v>75</v>
      </c>
      <c r="M262" s="13">
        <v>76</v>
      </c>
      <c r="N262" s="14">
        <v>1.25</v>
      </c>
      <c r="O262" s="14">
        <v>1.2666666666666666</v>
      </c>
    </row>
    <row r="263" spans="1:15">
      <c r="A263" s="9" t="s">
        <v>1056</v>
      </c>
      <c r="B263" s="10" t="s">
        <v>1057</v>
      </c>
      <c r="C263" s="10" t="s">
        <v>164</v>
      </c>
      <c r="D263" s="10" t="s">
        <v>1058</v>
      </c>
      <c r="E263" s="11" t="s">
        <v>1059</v>
      </c>
      <c r="F263" s="9" t="s">
        <v>976</v>
      </c>
      <c r="G263" s="12"/>
      <c r="H263" s="12"/>
      <c r="I263" s="12"/>
      <c r="J263" s="13" t="e">
        <v>#N/A</v>
      </c>
      <c r="K263" s="13" t="e">
        <v>#N/A</v>
      </c>
      <c r="L263" s="13" t="e">
        <v>#N/A</v>
      </c>
      <c r="M263" s="13" t="e">
        <v>#N/A</v>
      </c>
      <c r="N263" s="14" t="e">
        <v>#N/A</v>
      </c>
      <c r="O263" s="14" t="e">
        <v>#N/A</v>
      </c>
    </row>
    <row r="264" spans="1:15">
      <c r="A264" s="9" t="s">
        <v>1060</v>
      </c>
      <c r="B264" s="10" t="s">
        <v>1061</v>
      </c>
      <c r="C264" s="10" t="s">
        <v>16</v>
      </c>
      <c r="D264" s="9" t="s">
        <v>1062</v>
      </c>
      <c r="E264" s="11" t="s">
        <v>1063</v>
      </c>
      <c r="F264" s="9" t="s">
        <v>1064</v>
      </c>
      <c r="G264" s="12"/>
      <c r="H264" s="12"/>
      <c r="I264" s="12"/>
      <c r="J264" s="13" t="e">
        <v>#N/A</v>
      </c>
      <c r="K264" s="13" t="e">
        <v>#N/A</v>
      </c>
      <c r="L264" s="13" t="e">
        <v>#N/A</v>
      </c>
      <c r="M264" s="13" t="e">
        <v>#N/A</v>
      </c>
      <c r="N264" s="14" t="e">
        <v>#N/A</v>
      </c>
      <c r="O264" s="14" t="e">
        <v>#N/A</v>
      </c>
    </row>
    <row r="265" spans="1:15">
      <c r="A265" s="9" t="s">
        <v>1065</v>
      </c>
      <c r="B265" s="10" t="s">
        <v>1066</v>
      </c>
      <c r="C265" s="10" t="s">
        <v>16</v>
      </c>
      <c r="D265" s="9" t="s">
        <v>1067</v>
      </c>
      <c r="E265" s="11" t="s">
        <v>1068</v>
      </c>
      <c r="F265" s="9" t="s">
        <v>1064</v>
      </c>
      <c r="G265" s="12"/>
      <c r="H265" s="12"/>
      <c r="I265" s="12"/>
      <c r="J265" s="13" t="e">
        <v>#N/A</v>
      </c>
      <c r="K265" s="13" t="e">
        <v>#N/A</v>
      </c>
      <c r="L265" s="13" t="e">
        <v>#N/A</v>
      </c>
      <c r="M265" s="13" t="e">
        <v>#N/A</v>
      </c>
      <c r="N265" s="14" t="e">
        <v>#N/A</v>
      </c>
      <c r="O265" s="14" t="e">
        <v>#N/A</v>
      </c>
    </row>
    <row r="266" spans="1:15">
      <c r="A266" s="9" t="s">
        <v>1069</v>
      </c>
      <c r="B266" s="9" t="s">
        <v>1070</v>
      </c>
      <c r="C266" s="9" t="s">
        <v>164</v>
      </c>
      <c r="D266" s="9" t="s">
        <v>1071</v>
      </c>
      <c r="E266" s="11" t="s">
        <v>1072</v>
      </c>
      <c r="F266" s="9" t="s">
        <v>1064</v>
      </c>
      <c r="G266" s="12"/>
      <c r="H266" s="12"/>
      <c r="I266" s="12"/>
      <c r="J266" s="13" t="e">
        <v>#N/A</v>
      </c>
      <c r="K266" s="13" t="e">
        <v>#N/A</v>
      </c>
      <c r="L266" s="13" t="e">
        <v>#N/A</v>
      </c>
      <c r="M266" s="13" t="e">
        <v>#N/A</v>
      </c>
      <c r="N266" s="14" t="e">
        <v>#N/A</v>
      </c>
      <c r="O266" s="14" t="e">
        <v>#N/A</v>
      </c>
    </row>
    <row r="267" spans="1:15">
      <c r="A267" s="9" t="s">
        <v>1073</v>
      </c>
      <c r="B267" s="10" t="s">
        <v>1074</v>
      </c>
      <c r="C267" s="10" t="s">
        <v>16</v>
      </c>
      <c r="D267" s="10" t="s">
        <v>1075</v>
      </c>
      <c r="E267" s="11" t="s">
        <v>1076</v>
      </c>
      <c r="F267" s="9" t="s">
        <v>1064</v>
      </c>
      <c r="G267" s="12"/>
      <c r="H267" s="12"/>
      <c r="I267" s="12"/>
      <c r="J267" s="13" t="e">
        <v>#N/A</v>
      </c>
      <c r="K267" s="13" t="e">
        <v>#N/A</v>
      </c>
      <c r="L267" s="13" t="e">
        <v>#N/A</v>
      </c>
      <c r="M267" s="13" t="e">
        <v>#N/A</v>
      </c>
      <c r="N267" s="14" t="e">
        <v>#N/A</v>
      </c>
      <c r="O267" s="14" t="e">
        <v>#N/A</v>
      </c>
    </row>
    <row r="268" spans="1:15">
      <c r="A268" s="18" t="s">
        <v>1077</v>
      </c>
      <c r="B268" s="19" t="s">
        <v>1078</v>
      </c>
      <c r="C268" s="19" t="s">
        <v>164</v>
      </c>
      <c r="D268" s="19" t="s">
        <v>1079</v>
      </c>
      <c r="E268" s="20" t="s">
        <v>1080</v>
      </c>
      <c r="F268" s="19" t="s">
        <v>1081</v>
      </c>
      <c r="G268" s="21"/>
      <c r="H268" s="21"/>
      <c r="I268" s="21"/>
      <c r="J268" s="22" t="e">
        <v>#N/A</v>
      </c>
      <c r="K268" s="22" t="e">
        <v>#N/A</v>
      </c>
      <c r="L268" s="22" t="e">
        <v>#N/A</v>
      </c>
      <c r="M268" s="22" t="e">
        <v>#N/A</v>
      </c>
      <c r="N268" s="23" t="e">
        <v>#N/A</v>
      </c>
      <c r="O268" s="23" t="e">
        <v>#N/A</v>
      </c>
    </row>
    <row r="269" spans="1:15" s="26" customFormat="1" ht="15">
      <c r="A269" s="24"/>
      <c r="B269" s="25" t="s">
        <v>1082</v>
      </c>
      <c r="C269" s="24"/>
      <c r="D269" s="25" t="s">
        <v>1083</v>
      </c>
      <c r="E269" s="24" t="s">
        <v>1084</v>
      </c>
      <c r="F269" s="24"/>
      <c r="L269" s="27"/>
    </row>
    <row r="270" spans="1:15">
      <c r="B270" s="29"/>
    </row>
    <row r="279" spans="2:2" ht="15.6">
      <c r="B279" s="31"/>
    </row>
  </sheetData>
  <autoFilter ref="A1:O269" xr:uid="{49C41853-56EE-4917-AC94-EF3B897AC417}"/>
  <sortState xmlns:xlrd2="http://schemas.microsoft.com/office/spreadsheetml/2017/richdata2" ref="A2:K279">
    <sortCondition ref="F1:F279"/>
  </sortState>
  <conditionalFormatting sqref="A19:A22 A24:A25">
    <cfRule type="duplicateValues" dxfId="188" priority="468"/>
  </conditionalFormatting>
  <conditionalFormatting sqref="A263:A1048576 A24:A25 A27:A35 A1:A22">
    <cfRule type="duplicateValues" dxfId="187" priority="467"/>
  </conditionalFormatting>
  <conditionalFormatting sqref="A26">
    <cfRule type="duplicateValues" dxfId="186" priority="466"/>
  </conditionalFormatting>
  <conditionalFormatting sqref="A41">
    <cfRule type="duplicateValues" dxfId="185" priority="118"/>
    <cfRule type="duplicateValues" dxfId="184" priority="119"/>
  </conditionalFormatting>
  <conditionalFormatting sqref="A68:A72 A36:A40 A42:A57 A74:A88 A59:A66 A91:A138">
    <cfRule type="duplicateValues" dxfId="183" priority="214"/>
  </conditionalFormatting>
  <conditionalFormatting sqref="A139">
    <cfRule type="duplicateValues" dxfId="182" priority="199"/>
    <cfRule type="duplicateValues" dxfId="181" priority="200"/>
    <cfRule type="duplicateValues" dxfId="180" priority="201"/>
    <cfRule type="duplicateValues" dxfId="179" priority="202"/>
  </conditionalFormatting>
  <conditionalFormatting sqref="A230">
    <cfRule type="duplicateValues" dxfId="178" priority="185"/>
  </conditionalFormatting>
  <conditionalFormatting sqref="A249:A251 A231:A234 A36:A40 A42:A57 A140 A185:A189 A68:A72 A74:A88 A142:A144 A146:A147 A149:A156 A158:A164 A167:A174 A176:A179 A181:A183 A214:A229 A237 A59:A66 A191:A205 A207:A209 A211:A212 A91:A138 A240:A247">
    <cfRule type="duplicateValues" dxfId="177" priority="215"/>
  </conditionalFormatting>
  <conditionalFormatting sqref="A252:A253">
    <cfRule type="duplicateValues" dxfId="176" priority="462"/>
    <cfRule type="duplicateValues" dxfId="175" priority="463"/>
  </conditionalFormatting>
  <conditionalFormatting sqref="A252:A254 A24:A35 A1:A22 A263:A1048576">
    <cfRule type="duplicateValues" dxfId="174" priority="461"/>
  </conditionalFormatting>
  <conditionalFormatting sqref="A252:A254">
    <cfRule type="duplicateValues" dxfId="173" priority="426"/>
  </conditionalFormatting>
  <conditionalFormatting sqref="A254">
    <cfRule type="duplicateValues" dxfId="172" priority="464"/>
    <cfRule type="duplicateValues" dxfId="171" priority="465"/>
  </conditionalFormatting>
  <conditionalFormatting sqref="A257">
    <cfRule type="duplicateValues" dxfId="170" priority="418"/>
    <cfRule type="duplicateValues" dxfId="169" priority="421"/>
    <cfRule type="duplicateValues" dxfId="168" priority="423"/>
    <cfRule type="duplicateValues" dxfId="167" priority="424"/>
  </conditionalFormatting>
  <conditionalFormatting sqref="A258 A90 A260:A262">
    <cfRule type="duplicateValues" dxfId="166" priority="755"/>
  </conditionalFormatting>
  <conditionalFormatting sqref="A259">
    <cfRule type="duplicateValues" dxfId="165" priority="172"/>
  </conditionalFormatting>
  <conditionalFormatting sqref="B1:B1048576">
    <cfRule type="duplicateValues" dxfId="164" priority="1"/>
  </conditionalFormatting>
  <conditionalFormatting sqref="B19:B22 B24:B25">
    <cfRule type="duplicateValues" dxfId="163" priority="473"/>
  </conditionalFormatting>
  <conditionalFormatting sqref="B41">
    <cfRule type="duplicateValues" dxfId="162" priority="120"/>
    <cfRule type="duplicateValues" dxfId="161" priority="121"/>
    <cfRule type="duplicateValues" dxfId="160" priority="122"/>
    <cfRule type="duplicateValues" dxfId="159" priority="123"/>
    <cfRule type="duplicateValues" dxfId="158" priority="125"/>
    <cfRule type="duplicateValues" dxfId="157" priority="129"/>
  </conditionalFormatting>
  <conditionalFormatting sqref="B62">
    <cfRule type="duplicateValues" dxfId="156" priority="247"/>
    <cfRule type="duplicateValues" dxfId="155" priority="248"/>
    <cfRule type="duplicateValues" dxfId="154" priority="249"/>
    <cfRule type="duplicateValues" dxfId="153" priority="251"/>
    <cfRule type="duplicateValues" dxfId="152" priority="255"/>
  </conditionalFormatting>
  <conditionalFormatting sqref="B115">
    <cfRule type="duplicateValues" dxfId="151" priority="410"/>
  </conditionalFormatting>
  <conditionalFormatting sqref="B123">
    <cfRule type="duplicateValues" dxfId="150" priority="152"/>
    <cfRule type="duplicateValues" dxfId="149" priority="153"/>
    <cfRule type="duplicateValues" dxfId="148" priority="154"/>
    <cfRule type="duplicateValues" dxfId="147" priority="155"/>
    <cfRule type="duplicateValues" dxfId="146" priority="156"/>
    <cfRule type="duplicateValues" dxfId="145" priority="157"/>
  </conditionalFormatting>
  <conditionalFormatting sqref="B126">
    <cfRule type="duplicateValues" dxfId="144" priority="376"/>
    <cfRule type="duplicateValues" dxfId="143" priority="377"/>
  </conditionalFormatting>
  <conditionalFormatting sqref="B135">
    <cfRule type="duplicateValues" dxfId="142" priority="143"/>
    <cfRule type="duplicateValues" dxfId="141" priority="144"/>
    <cfRule type="duplicateValues" dxfId="140" priority="145"/>
    <cfRule type="duplicateValues" dxfId="139" priority="146"/>
    <cfRule type="duplicateValues" dxfId="138" priority="147"/>
    <cfRule type="duplicateValues" dxfId="137" priority="148"/>
  </conditionalFormatting>
  <conditionalFormatting sqref="B139">
    <cfRule type="duplicateValues" dxfId="136" priority="203"/>
    <cfRule type="duplicateValues" dxfId="135" priority="204"/>
    <cfRule type="duplicateValues" dxfId="134" priority="205"/>
    <cfRule type="duplicateValues" dxfId="133" priority="206"/>
    <cfRule type="duplicateValues" dxfId="132" priority="208"/>
    <cfRule type="duplicateValues" dxfId="131" priority="212"/>
  </conditionalFormatting>
  <conditionalFormatting sqref="B141">
    <cfRule type="duplicateValues" dxfId="130" priority="298"/>
    <cfRule type="duplicateValues" dxfId="129" priority="299"/>
    <cfRule type="duplicateValues" dxfId="128" priority="301"/>
    <cfRule type="duplicateValues" dxfId="127" priority="305"/>
  </conditionalFormatting>
  <conditionalFormatting sqref="B142">
    <cfRule type="duplicateValues" dxfId="126" priority="456"/>
  </conditionalFormatting>
  <conditionalFormatting sqref="B143">
    <cfRule type="duplicateValues" dxfId="125" priority="307"/>
    <cfRule type="duplicateValues" dxfId="124" priority="308"/>
    <cfRule type="duplicateValues" dxfId="123" priority="309"/>
    <cfRule type="duplicateValues" dxfId="122" priority="310"/>
  </conditionalFormatting>
  <conditionalFormatting sqref="B153:B154">
    <cfRule type="duplicateValues" dxfId="121" priority="216"/>
    <cfRule type="duplicateValues" dxfId="120" priority="217"/>
    <cfRule type="duplicateValues" dxfId="119" priority="218"/>
    <cfRule type="duplicateValues" dxfId="118" priority="219"/>
    <cfRule type="duplicateValues" dxfId="117" priority="221"/>
    <cfRule type="duplicateValues" dxfId="116" priority="225"/>
  </conditionalFormatting>
  <conditionalFormatting sqref="B165:B166">
    <cfRule type="duplicateValues" dxfId="115" priority="290"/>
    <cfRule type="duplicateValues" dxfId="114" priority="291"/>
    <cfRule type="duplicateValues" dxfId="113" priority="292"/>
    <cfRule type="duplicateValues" dxfId="112" priority="293"/>
  </conditionalFormatting>
  <conditionalFormatting sqref="B168">
    <cfRule type="duplicateValues" dxfId="111" priority="136"/>
    <cfRule type="duplicateValues" dxfId="110" priority="137"/>
    <cfRule type="duplicateValues" dxfId="109" priority="138"/>
    <cfRule type="duplicateValues" dxfId="108" priority="139"/>
    <cfRule type="duplicateValues" dxfId="107" priority="140"/>
    <cfRule type="duplicateValues" dxfId="106" priority="141"/>
  </conditionalFormatting>
  <conditionalFormatting sqref="B174">
    <cfRule type="duplicateValues" dxfId="105" priority="316"/>
    <cfRule type="duplicateValues" dxfId="104" priority="317"/>
    <cfRule type="duplicateValues" dxfId="103" priority="319"/>
    <cfRule type="duplicateValues" dxfId="102" priority="323"/>
  </conditionalFormatting>
  <conditionalFormatting sqref="B206">
    <cfRule type="duplicateValues" dxfId="101" priority="792"/>
  </conditionalFormatting>
  <conditionalFormatting sqref="B214">
    <cfRule type="duplicateValues" dxfId="100" priority="359"/>
    <cfRule type="duplicateValues" dxfId="99" priority="363"/>
  </conditionalFormatting>
  <conditionalFormatting sqref="B221">
    <cfRule type="duplicateValues" dxfId="98" priority="414"/>
  </conditionalFormatting>
  <conditionalFormatting sqref="B222:B223">
    <cfRule type="duplicateValues" dxfId="97" priority="413"/>
  </conditionalFormatting>
  <conditionalFormatting sqref="B223">
    <cfRule type="duplicateValues" dxfId="96" priority="325"/>
  </conditionalFormatting>
  <conditionalFormatting sqref="B229">
    <cfRule type="duplicateValues" dxfId="95" priority="411"/>
  </conditionalFormatting>
  <conditionalFormatting sqref="B230">
    <cfRule type="duplicateValues" dxfId="94" priority="186"/>
    <cfRule type="duplicateValues" dxfId="93" priority="187"/>
    <cfRule type="duplicateValues" dxfId="92" priority="188"/>
    <cfRule type="duplicateValues" dxfId="91" priority="189"/>
    <cfRule type="duplicateValues" dxfId="90" priority="191"/>
    <cfRule type="duplicateValues" dxfId="89" priority="192"/>
  </conditionalFormatting>
  <conditionalFormatting sqref="B239">
    <cfRule type="duplicateValues" dxfId="88" priority="331"/>
    <cfRule type="duplicateValues" dxfId="87" priority="332"/>
    <cfRule type="duplicateValues" dxfId="86" priority="333"/>
    <cfRule type="duplicateValues" dxfId="85" priority="334"/>
  </conditionalFormatting>
  <conditionalFormatting sqref="B240">
    <cfRule type="duplicateValues" dxfId="84" priority="366"/>
    <cfRule type="duplicateValues" dxfId="83" priority="370"/>
  </conditionalFormatting>
  <conditionalFormatting sqref="B241">
    <cfRule type="duplicateValues" dxfId="82" priority="239"/>
    <cfRule type="duplicateValues" dxfId="81" priority="240"/>
    <cfRule type="duplicateValues" dxfId="80" priority="241"/>
    <cfRule type="duplicateValues" dxfId="79" priority="242"/>
    <cfRule type="duplicateValues" dxfId="78" priority="243"/>
    <cfRule type="duplicateValues" dxfId="77" priority="244"/>
  </conditionalFormatting>
  <conditionalFormatting sqref="B248">
    <cfRule type="duplicateValues" dxfId="76" priority="400"/>
  </conditionalFormatting>
  <conditionalFormatting sqref="B249">
    <cfRule type="duplicateValues" dxfId="75" priority="395"/>
  </conditionalFormatting>
  <conditionalFormatting sqref="B250:B253 B224:B228 B116:B122 B127:B134 B231:B238 B215:B220 B144:B152 B57:B61 B63:B89 B156:B164 B140 B124:B125 B136:B138 B167 B169:B173 B255:B256 B42:B44 B175:B205 B207:B213 B1:B40 B46:B55 B91:B114 B242:B247">
    <cfRule type="duplicateValues" dxfId="74" priority="477"/>
  </conditionalFormatting>
  <conditionalFormatting sqref="B257">
    <cfRule type="duplicateValues" dxfId="73" priority="425"/>
  </conditionalFormatting>
  <conditionalFormatting sqref="B258 B90 B260:B262">
    <cfRule type="duplicateValues" dxfId="72" priority="759"/>
  </conditionalFormatting>
  <conditionalFormatting sqref="B259">
    <cfRule type="duplicateValues" dxfId="71" priority="166"/>
    <cfRule type="duplicateValues" dxfId="70" priority="167"/>
    <cfRule type="duplicateValues" dxfId="69" priority="168"/>
    <cfRule type="duplicateValues" dxfId="68" priority="169"/>
    <cfRule type="duplicateValues" dxfId="67" priority="173"/>
  </conditionalFormatting>
  <conditionalFormatting sqref="B263 B268:B269 B265:B266">
    <cfRule type="duplicateValues" dxfId="66" priority="487"/>
  </conditionalFormatting>
  <conditionalFormatting sqref="B263">
    <cfRule type="duplicateValues" dxfId="65" priority="490"/>
    <cfRule type="duplicateValues" dxfId="64" priority="493"/>
    <cfRule type="duplicateValues" dxfId="63" priority="496"/>
  </conditionalFormatting>
  <conditionalFormatting sqref="B265:B1048576 B260:B263 B140:B152 B231:B240 B124:B134 B136:B138 B156:B167 B255:B258 B42:B44 B169:B229 B1:B40 B46:B61 B63:B122 B242:B253">
    <cfRule type="duplicateValues" dxfId="62" priority="289"/>
  </conditionalFormatting>
  <conditionalFormatting sqref="B265:B1048576 B260:B263 B140:B152 B231:B240 B124:B134 B136:B138 B156:B167 B255:B258 B42:B44 B169:B229 B1:B40 B46:B122 B242:B253">
    <cfRule type="duplicateValues" dxfId="61" priority="246"/>
  </conditionalFormatting>
  <conditionalFormatting sqref="B268:B269 B271:B1048576 B144:B152 B142 B240 B156:B164 B140 B231:B238 B260:B263 B124:B134 B136:B138 B167 B169:B173 B255:B258 B42:B44 B265:B266 B175:B229 B1:B40 B46:B61 B63:B122 B242:B253">
    <cfRule type="duplicateValues" dxfId="60" priority="348"/>
  </conditionalFormatting>
  <conditionalFormatting sqref="B271">
    <cfRule type="duplicateValues" dxfId="59" priority="353"/>
  </conditionalFormatting>
  <conditionalFormatting sqref="B271:B277">
    <cfRule type="duplicateValues" dxfId="58" priority="349"/>
    <cfRule type="duplicateValues" dxfId="57" priority="350"/>
    <cfRule type="duplicateValues" dxfId="56" priority="351"/>
    <cfRule type="duplicateValues" dxfId="55" priority="352"/>
  </conditionalFormatting>
  <conditionalFormatting sqref="B273">
    <cfRule type="duplicateValues" dxfId="54" priority="355"/>
  </conditionalFormatting>
  <conditionalFormatting sqref="B274">
    <cfRule type="duplicateValues" dxfId="53" priority="389"/>
  </conditionalFormatting>
  <conditionalFormatting sqref="B274:B276">
    <cfRule type="duplicateValues" dxfId="52" priority="386"/>
  </conditionalFormatting>
  <conditionalFormatting sqref="B275">
    <cfRule type="duplicateValues" dxfId="51" priority="388"/>
  </conditionalFormatting>
  <conditionalFormatting sqref="B276">
    <cfRule type="duplicateValues" dxfId="50" priority="387"/>
  </conditionalFormatting>
  <conditionalFormatting sqref="B277">
    <cfRule type="duplicateValues" dxfId="49" priority="357"/>
  </conditionalFormatting>
  <conditionalFormatting sqref="B278 B274:B276 B272 B280:B1048576 B215:B229 B127:B134 B144:B152 B142 B63:B89 B156:B164 B140 B231:B238 B124:B125 B136:B138 B167 B169:B173 B255:B257 B42:B44 B175:B213 B1:B40 B46:B61 B91:B122 B242:B253">
    <cfRule type="duplicateValues" dxfId="48" priority="390"/>
  </conditionalFormatting>
  <conditionalFormatting sqref="B278 B280">
    <cfRule type="duplicateValues" dxfId="47" priority="385"/>
  </conditionalFormatting>
  <conditionalFormatting sqref="B280:B1048576 B268:B269 B271:B278 B144:B152 B142 B240 B156:B164 B140 B231:B238 B260:B263 B124:B134 B136:B138 B167 B169:B173 B255:B258 B42:B44 B265:B266 B175:B229 B1:B40 B46:B61 B63:B122 B242:B253">
    <cfRule type="duplicateValues" dxfId="46" priority="356"/>
  </conditionalFormatting>
  <conditionalFormatting sqref="B280:B1048576">
    <cfRule type="duplicateValues" dxfId="45" priority="354"/>
  </conditionalFormatting>
  <conditionalFormatting sqref="B45:F45">
    <cfRule type="duplicateValues" dxfId="44" priority="497"/>
    <cfRule type="duplicateValues" dxfId="43" priority="498"/>
  </conditionalFormatting>
  <conditionalFormatting sqref="B208:F208">
    <cfRule type="duplicateValues" dxfId="42" priority="526"/>
  </conditionalFormatting>
  <conditionalFormatting sqref="B209:F209">
    <cfRule type="duplicateValues" dxfId="41" priority="460"/>
    <cfRule type="duplicateValues" dxfId="40" priority="479"/>
  </conditionalFormatting>
  <conditionalFormatting sqref="D270:F1048576 D1:F268 E269:F269">
    <cfRule type="duplicateValues" dxfId="39" priority="2"/>
  </conditionalFormatting>
  <conditionalFormatting sqref="D16:F22 D24:F25">
    <cfRule type="duplicateValues" dxfId="38" priority="474"/>
  </conditionalFormatting>
  <conditionalFormatting sqref="D41:F41">
    <cfRule type="duplicateValues" dxfId="37" priority="127"/>
  </conditionalFormatting>
  <conditionalFormatting sqref="D62:F62">
    <cfRule type="duplicateValues" dxfId="36" priority="253"/>
  </conditionalFormatting>
  <conditionalFormatting sqref="D80:F80">
    <cfRule type="duplicateValues" dxfId="35" priority="34"/>
    <cfRule type="duplicateValues" dxfId="34" priority="35"/>
  </conditionalFormatting>
  <conditionalFormatting sqref="D90:F90">
    <cfRule type="duplicateValues" dxfId="33" priority="176"/>
    <cfRule type="duplicateValues" dxfId="32" priority="177"/>
    <cfRule type="duplicateValues" dxfId="31" priority="178"/>
    <cfRule type="duplicateValues" dxfId="30" priority="179"/>
  </conditionalFormatting>
  <conditionalFormatting sqref="D115:F115">
    <cfRule type="duplicateValues" dxfId="29" priority="407"/>
  </conditionalFormatting>
  <conditionalFormatting sqref="D123:F123">
    <cfRule type="duplicateValues" dxfId="28" priority="151"/>
  </conditionalFormatting>
  <conditionalFormatting sqref="D135:F135">
    <cfRule type="duplicateValues" dxfId="27" priority="142"/>
  </conditionalFormatting>
  <conditionalFormatting sqref="D139:F139">
    <cfRule type="duplicateValues" dxfId="26" priority="210"/>
  </conditionalFormatting>
  <conditionalFormatting sqref="D141:F141">
    <cfRule type="duplicateValues" dxfId="25" priority="303"/>
  </conditionalFormatting>
  <conditionalFormatting sqref="D142:F142">
    <cfRule type="duplicateValues" dxfId="24" priority="455"/>
  </conditionalFormatting>
  <conditionalFormatting sqref="D143:F143">
    <cfRule type="duplicateValues" dxfId="23" priority="313"/>
  </conditionalFormatting>
  <conditionalFormatting sqref="D153:F155">
    <cfRule type="duplicateValues" dxfId="22" priority="223"/>
  </conditionalFormatting>
  <conditionalFormatting sqref="D165:F166">
    <cfRule type="duplicateValues" dxfId="21" priority="294"/>
    <cfRule type="duplicateValues" dxfId="20" priority="295"/>
    <cfRule type="duplicateValues" dxfId="19" priority="296"/>
    <cfRule type="duplicateValues" dxfId="18" priority="297"/>
  </conditionalFormatting>
  <conditionalFormatting sqref="D174:F174">
    <cfRule type="duplicateValues" dxfId="17" priority="321"/>
  </conditionalFormatting>
  <conditionalFormatting sqref="D204:F204">
    <cfRule type="duplicateValues" dxfId="16" priority="381"/>
    <cfRule type="duplicateValues" dxfId="15" priority="382"/>
    <cfRule type="duplicateValues" dxfId="14" priority="383"/>
  </conditionalFormatting>
  <conditionalFormatting sqref="D206:F207">
    <cfRule type="duplicateValues" dxfId="13" priority="909"/>
  </conditionalFormatting>
  <conditionalFormatting sqref="D214:F214">
    <cfRule type="duplicateValues" dxfId="12" priority="361"/>
  </conditionalFormatting>
  <conditionalFormatting sqref="D221:F223">
    <cfRule type="duplicateValues" dxfId="11" priority="415"/>
  </conditionalFormatting>
  <conditionalFormatting sqref="D230:F230">
    <cfRule type="duplicateValues" dxfId="10" priority="194"/>
  </conditionalFormatting>
  <conditionalFormatting sqref="D240:F241">
    <cfRule type="duplicateValues" dxfId="9" priority="368"/>
  </conditionalFormatting>
  <conditionalFormatting sqref="D248:F248">
    <cfRule type="duplicateValues" dxfId="8" priority="397"/>
  </conditionalFormatting>
  <conditionalFormatting sqref="D249:F249">
    <cfRule type="duplicateValues" dxfId="7" priority="392"/>
  </conditionalFormatting>
  <conditionalFormatting sqref="D257:F257">
    <cfRule type="duplicateValues" dxfId="6" priority="419"/>
  </conditionalFormatting>
  <conditionalFormatting sqref="D258:F258 D260:F262">
    <cfRule type="duplicateValues" dxfId="5" priority="763"/>
  </conditionalFormatting>
  <conditionalFormatting sqref="D259:F259">
    <cfRule type="duplicateValues" dxfId="4" priority="170"/>
  </conditionalFormatting>
  <conditionalFormatting sqref="D263:F268 D270:F1048576 E269:F269 D250:F256 D116:F122 D208:F213 D205:F205 D224:F229 D144:F152 D63:F79 D156:F164 D140:F140 D231:F239 D124:F134 D136:F138 D167:F173 D42:F44 D215:F220 D175:F203 D1:F40 D46:F61 D91:F114 D242:F247 D81:F89 F3:F262 E3:E268">
    <cfRule type="duplicateValues" dxfId="3" priority="457"/>
  </conditionalFormatting>
  <dataValidations count="1">
    <dataValidation type="list" allowBlank="1" showInputMessage="1" showErrorMessage="1" sqref="C2:C262" xr:uid="{0B220754-AF10-4E89-B10F-D2ED7CB9C7C9}">
      <formula1>Category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BDFD-865A-4EA7-A075-DADDE07F2F43}">
  <sheetPr filterMode="1"/>
  <dimension ref="A1:F528"/>
  <sheetViews>
    <sheetView workbookViewId="0">
      <selection activeCell="H270" sqref="H270"/>
    </sheetView>
  </sheetViews>
  <sheetFormatPr defaultRowHeight="14.45"/>
  <cols>
    <col min="1" max="1" width="18.42578125" style="1" bestFit="1" customWidth="1"/>
    <col min="2" max="2" width="41.140625" style="1" bestFit="1" customWidth="1"/>
    <col min="3" max="3" width="20.42578125" style="1" bestFit="1" customWidth="1"/>
  </cols>
  <sheetData>
    <row r="1" spans="1:6">
      <c r="A1" s="1" t="s">
        <v>1085</v>
      </c>
      <c r="B1" s="1" t="s">
        <v>4</v>
      </c>
      <c r="C1" s="1" t="s">
        <v>1086</v>
      </c>
    </row>
    <row r="2" spans="1:6" hidden="1">
      <c r="A2" s="1" t="s">
        <v>88</v>
      </c>
      <c r="B2" s="1" t="s">
        <v>89</v>
      </c>
      <c r="C2" s="1" t="s">
        <v>87</v>
      </c>
      <c r="E2" t="str">
        <f>MID(C2,9,2)</f>
        <v>12</v>
      </c>
      <c r="F2">
        <f>VLOOKUP(C2,'[2]Page 68-72'!$B$7:$M$242,12,FALSE)</f>
        <v>48</v>
      </c>
    </row>
    <row r="3" spans="1:6" hidden="1">
      <c r="A3" s="1" t="s">
        <v>332</v>
      </c>
      <c r="B3" s="1" t="s">
        <v>333</v>
      </c>
      <c r="C3" s="1" t="s">
        <v>331</v>
      </c>
      <c r="E3" t="str">
        <f t="shared" ref="E3:E7" si="0">MID(C3,9,2)</f>
        <v>14</v>
      </c>
      <c r="F3" t="e">
        <f>VLOOKUP(C3,'[2]Page 68-72'!$B$7:$M$242,12,FALSE)</f>
        <v>#N/A</v>
      </c>
    </row>
    <row r="4" spans="1:6" hidden="1">
      <c r="A4" s="1" t="s">
        <v>558</v>
      </c>
      <c r="B4" s="1" t="s">
        <v>559</v>
      </c>
      <c r="C4" s="1" t="s">
        <v>557</v>
      </c>
      <c r="E4" t="str">
        <f t="shared" si="0"/>
        <v>15</v>
      </c>
      <c r="F4" t="e">
        <f>VLOOKUP(C4,'[2]Page 68-72'!$B$7:$M$242,12,FALSE)</f>
        <v>#N/A</v>
      </c>
    </row>
    <row r="5" spans="1:6" hidden="1">
      <c r="A5" s="1" t="s">
        <v>797</v>
      </c>
      <c r="B5" s="1" t="s">
        <v>798</v>
      </c>
      <c r="C5" s="1" t="s">
        <v>796</v>
      </c>
      <c r="E5" t="str">
        <f t="shared" si="0"/>
        <v>16</v>
      </c>
      <c r="F5" t="e">
        <f>VLOOKUP(C5,'[2]Page 68-72'!$B$7:$M$242,12,FALSE)</f>
        <v>#N/A</v>
      </c>
    </row>
    <row r="6" spans="1:6" hidden="1">
      <c r="A6" s="1" t="s">
        <v>801</v>
      </c>
      <c r="B6" s="1" t="s">
        <v>802</v>
      </c>
      <c r="C6" s="1" t="s">
        <v>800</v>
      </c>
      <c r="E6" t="str">
        <f t="shared" si="0"/>
        <v>16</v>
      </c>
      <c r="F6" t="e">
        <f>VLOOKUP(C6,'[2]Page 68-72'!$B$7:$M$242,12,FALSE)</f>
        <v>#N/A</v>
      </c>
    </row>
    <row r="7" spans="1:6" hidden="1">
      <c r="A7" s="1" t="s">
        <v>562</v>
      </c>
      <c r="B7" s="1" t="s">
        <v>563</v>
      </c>
      <c r="C7" s="1" t="s">
        <v>561</v>
      </c>
      <c r="E7" t="str">
        <f t="shared" si="0"/>
        <v>15</v>
      </c>
      <c r="F7">
        <f>VLOOKUP(C7,'[2]Page 68-72'!$B$7:$M$242,12,FALSE)</f>
        <v>60</v>
      </c>
    </row>
    <row r="8" spans="1:6" hidden="1">
      <c r="A8" s="1" t="s">
        <v>26</v>
      </c>
      <c r="B8" s="1" t="s">
        <v>27</v>
      </c>
      <c r="C8" s="1" t="s">
        <v>25</v>
      </c>
    </row>
    <row r="9" spans="1:6" hidden="1">
      <c r="A9" s="1" t="s">
        <v>43</v>
      </c>
      <c r="B9" s="1" t="s">
        <v>44</v>
      </c>
      <c r="C9" s="1" t="s">
        <v>42</v>
      </c>
    </row>
    <row r="10" spans="1:6" hidden="1">
      <c r="A10" s="1" t="s">
        <v>21</v>
      </c>
      <c r="B10" s="1" t="s">
        <v>22</v>
      </c>
      <c r="C10" s="1" t="s">
        <v>19</v>
      </c>
    </row>
    <row r="11" spans="1:6" hidden="1">
      <c r="A11" s="1" t="s">
        <v>39</v>
      </c>
      <c r="B11" s="1" t="s">
        <v>40</v>
      </c>
      <c r="C11" s="1" t="s">
        <v>38</v>
      </c>
    </row>
    <row r="12" spans="1:6" hidden="1">
      <c r="A12" s="1" t="s">
        <v>51</v>
      </c>
      <c r="B12" s="1" t="s">
        <v>52</v>
      </c>
      <c r="C12" s="1" t="s">
        <v>50</v>
      </c>
    </row>
    <row r="13" spans="1:6" hidden="1">
      <c r="A13" s="1" t="s">
        <v>35</v>
      </c>
      <c r="B13" s="1" t="s">
        <v>36</v>
      </c>
      <c r="C13" s="1" t="s">
        <v>34</v>
      </c>
    </row>
    <row r="14" spans="1:6" hidden="1">
      <c r="A14" s="1" t="s">
        <v>102</v>
      </c>
      <c r="B14" s="1" t="s">
        <v>103</v>
      </c>
      <c r="C14" s="1" t="s">
        <v>101</v>
      </c>
    </row>
    <row r="15" spans="1:6" hidden="1">
      <c r="A15" s="1" t="s">
        <v>93</v>
      </c>
      <c r="B15" s="1" t="s">
        <v>94</v>
      </c>
      <c r="C15" s="1" t="s">
        <v>91</v>
      </c>
    </row>
    <row r="16" spans="1:6" hidden="1">
      <c r="A16" s="1" t="s">
        <v>60</v>
      </c>
      <c r="B16" s="1" t="s">
        <v>61</v>
      </c>
      <c r="C16" s="1" t="s">
        <v>58</v>
      </c>
    </row>
    <row r="17" spans="1:3" hidden="1">
      <c r="A17" s="1" t="s">
        <v>68</v>
      </c>
      <c r="B17" s="1" t="s">
        <v>69</v>
      </c>
      <c r="C17" s="1" t="s">
        <v>67</v>
      </c>
    </row>
    <row r="18" spans="1:3" hidden="1">
      <c r="A18" s="1" t="s">
        <v>31</v>
      </c>
      <c r="B18" s="1" t="s">
        <v>32</v>
      </c>
      <c r="C18" s="1" t="s">
        <v>29</v>
      </c>
    </row>
    <row r="19" spans="1:3" hidden="1">
      <c r="A19" s="1" t="s">
        <v>64</v>
      </c>
      <c r="B19" s="1" t="s">
        <v>65</v>
      </c>
      <c r="C19" s="1" t="s">
        <v>63</v>
      </c>
    </row>
    <row r="20" spans="1:3" hidden="1">
      <c r="A20" s="1" t="s">
        <v>110</v>
      </c>
      <c r="B20" s="1" t="s">
        <v>111</v>
      </c>
      <c r="C20" s="1" t="s">
        <v>109</v>
      </c>
    </row>
    <row r="21" spans="1:3" hidden="1">
      <c r="A21" s="1" t="s">
        <v>98</v>
      </c>
      <c r="B21" s="1" t="s">
        <v>99</v>
      </c>
      <c r="C21" s="1" t="s">
        <v>97</v>
      </c>
    </row>
    <row r="22" spans="1:3" hidden="1">
      <c r="A22" s="1" t="s">
        <v>106</v>
      </c>
      <c r="B22" s="1" t="s">
        <v>107</v>
      </c>
      <c r="C22" s="1" t="s">
        <v>105</v>
      </c>
    </row>
    <row r="23" spans="1:3" hidden="1">
      <c r="A23" s="1" t="s">
        <v>55</v>
      </c>
      <c r="B23" s="1" t="s">
        <v>56</v>
      </c>
      <c r="C23" s="1" t="s">
        <v>54</v>
      </c>
    </row>
    <row r="24" spans="1:3" hidden="1">
      <c r="A24" s="1" t="s">
        <v>47</v>
      </c>
      <c r="B24" s="1" t="s">
        <v>48</v>
      </c>
      <c r="C24" s="1" t="s">
        <v>46</v>
      </c>
    </row>
    <row r="25" spans="1:3" hidden="1">
      <c r="A25" s="1" t="s">
        <v>76</v>
      </c>
      <c r="B25" s="1" t="s">
        <v>77</v>
      </c>
      <c r="C25" s="1" t="s">
        <v>75</v>
      </c>
    </row>
    <row r="26" spans="1:3" hidden="1">
      <c r="A26" s="1" t="s">
        <v>72</v>
      </c>
      <c r="B26" s="1" t="s">
        <v>73</v>
      </c>
      <c r="C26" s="1" t="s">
        <v>71</v>
      </c>
    </row>
    <row r="27" spans="1:3" hidden="1">
      <c r="A27" s="1" t="s">
        <v>122</v>
      </c>
      <c r="B27" s="1" t="s">
        <v>123</v>
      </c>
      <c r="C27" s="1" t="s">
        <v>121</v>
      </c>
    </row>
    <row r="28" spans="1:3" hidden="1">
      <c r="A28" s="1" t="s">
        <v>142</v>
      </c>
      <c r="B28" s="1" t="s">
        <v>143</v>
      </c>
      <c r="C28" s="1" t="s">
        <v>141</v>
      </c>
    </row>
    <row r="29" spans="1:3" hidden="1">
      <c r="A29" s="1" t="s">
        <v>118</v>
      </c>
      <c r="B29" s="1" t="s">
        <v>119</v>
      </c>
      <c r="C29" s="1" t="s">
        <v>117</v>
      </c>
    </row>
    <row r="30" spans="1:3" hidden="1">
      <c r="A30" s="1" t="s">
        <v>189</v>
      </c>
      <c r="B30" s="1" t="s">
        <v>190</v>
      </c>
      <c r="C30" s="1" t="s">
        <v>188</v>
      </c>
    </row>
    <row r="31" spans="1:3" hidden="1">
      <c r="A31" s="1" t="s">
        <v>130</v>
      </c>
      <c r="B31" s="1" t="s">
        <v>131</v>
      </c>
      <c r="C31" s="1" t="s">
        <v>129</v>
      </c>
    </row>
    <row r="32" spans="1:3" hidden="1">
      <c r="A32" s="1" t="s">
        <v>138</v>
      </c>
      <c r="B32" s="1" t="s">
        <v>139</v>
      </c>
      <c r="C32" s="1" t="s">
        <v>137</v>
      </c>
    </row>
    <row r="33" spans="1:3" hidden="1">
      <c r="A33" s="1" t="s">
        <v>126</v>
      </c>
      <c r="B33" s="1" t="s">
        <v>127</v>
      </c>
      <c r="C33" s="1" t="s">
        <v>125</v>
      </c>
    </row>
    <row r="34" spans="1:3" hidden="1">
      <c r="A34" s="1" t="s">
        <v>146</v>
      </c>
      <c r="B34" s="1" t="s">
        <v>147</v>
      </c>
      <c r="C34" s="1" t="s">
        <v>145</v>
      </c>
    </row>
    <row r="35" spans="1:3" hidden="1">
      <c r="A35" s="1" t="s">
        <v>160</v>
      </c>
      <c r="B35" s="1" t="s">
        <v>161</v>
      </c>
      <c r="C35" s="1" t="s">
        <v>159</v>
      </c>
    </row>
    <row r="36" spans="1:3" hidden="1">
      <c r="A36" s="1" t="s">
        <v>152</v>
      </c>
      <c r="B36" s="1" t="s">
        <v>153</v>
      </c>
      <c r="C36" s="1" t="s">
        <v>151</v>
      </c>
    </row>
    <row r="37" spans="1:3" hidden="1">
      <c r="A37" s="1" t="s">
        <v>114</v>
      </c>
      <c r="B37" s="1" t="s">
        <v>115</v>
      </c>
      <c r="C37" s="1" t="s">
        <v>113</v>
      </c>
    </row>
    <row r="38" spans="1:3" hidden="1">
      <c r="A38" s="1" t="s">
        <v>134</v>
      </c>
      <c r="B38" s="1" t="s">
        <v>135</v>
      </c>
      <c r="C38" s="1" t="s">
        <v>133</v>
      </c>
    </row>
    <row r="39" spans="1:3" hidden="1">
      <c r="A39" s="1" t="s">
        <v>165</v>
      </c>
      <c r="B39" s="1" t="s">
        <v>166</v>
      </c>
      <c r="C39" s="1" t="s">
        <v>163</v>
      </c>
    </row>
    <row r="40" spans="1:3" hidden="1">
      <c r="A40" s="1" t="s">
        <v>156</v>
      </c>
      <c r="B40" s="1" t="s">
        <v>157</v>
      </c>
      <c r="C40" s="1" t="s">
        <v>155</v>
      </c>
    </row>
    <row r="41" spans="1:3" hidden="1">
      <c r="A41" s="1" t="s">
        <v>206</v>
      </c>
      <c r="B41" s="1" t="s">
        <v>207</v>
      </c>
      <c r="C41" s="1" t="s">
        <v>205</v>
      </c>
    </row>
    <row r="42" spans="1:3" hidden="1">
      <c r="A42" s="1" t="s">
        <v>210</v>
      </c>
      <c r="B42" s="1" t="s">
        <v>211</v>
      </c>
      <c r="C42" s="1" t="s">
        <v>209</v>
      </c>
    </row>
    <row r="43" spans="1:3" hidden="1">
      <c r="A43" s="1" t="s">
        <v>198</v>
      </c>
      <c r="B43" s="1" t="s">
        <v>199</v>
      </c>
      <c r="C43" s="1" t="s">
        <v>197</v>
      </c>
    </row>
    <row r="44" spans="1:3" hidden="1">
      <c r="A44" s="1" t="s">
        <v>169</v>
      </c>
      <c r="B44" s="1" t="s">
        <v>170</v>
      </c>
      <c r="C44" s="1" t="s">
        <v>168</v>
      </c>
    </row>
    <row r="45" spans="1:3" hidden="1">
      <c r="A45" s="1" t="s">
        <v>214</v>
      </c>
      <c r="B45" s="1" t="s">
        <v>215</v>
      </c>
      <c r="C45" s="1" t="s">
        <v>213</v>
      </c>
    </row>
    <row r="46" spans="1:3" hidden="1">
      <c r="A46" s="1" t="s">
        <v>194</v>
      </c>
      <c r="B46" s="1" t="s">
        <v>195</v>
      </c>
      <c r="C46" s="1" t="s">
        <v>193</v>
      </c>
    </row>
    <row r="47" spans="1:3" hidden="1">
      <c r="A47" s="1" t="s">
        <v>222</v>
      </c>
      <c r="B47" s="1" t="s">
        <v>223</v>
      </c>
      <c r="C47" s="1" t="s">
        <v>221</v>
      </c>
    </row>
    <row r="48" spans="1:3" hidden="1">
      <c r="A48" s="1" t="s">
        <v>173</v>
      </c>
      <c r="B48" s="1" t="s">
        <v>174</v>
      </c>
      <c r="C48" s="1" t="s">
        <v>172</v>
      </c>
    </row>
    <row r="49" spans="1:3" hidden="1">
      <c r="A49" s="1" t="s">
        <v>226</v>
      </c>
      <c r="B49" s="1" t="s">
        <v>227</v>
      </c>
      <c r="C49" s="1" t="s">
        <v>225</v>
      </c>
    </row>
    <row r="50" spans="1:3" hidden="1">
      <c r="A50" s="1" t="s">
        <v>245</v>
      </c>
      <c r="B50" s="1" t="s">
        <v>246</v>
      </c>
      <c r="C50" s="1" t="s">
        <v>244</v>
      </c>
    </row>
    <row r="51" spans="1:3" hidden="1">
      <c r="A51" s="1" t="s">
        <v>80</v>
      </c>
      <c r="B51" s="1" t="s">
        <v>81</v>
      </c>
      <c r="C51" s="1" t="s">
        <v>79</v>
      </c>
    </row>
    <row r="52" spans="1:3" hidden="1">
      <c r="A52" s="1" t="s">
        <v>233</v>
      </c>
      <c r="B52" s="1" t="s">
        <v>234</v>
      </c>
      <c r="C52" s="1" t="s">
        <v>232</v>
      </c>
    </row>
    <row r="53" spans="1:3" hidden="1">
      <c r="A53" s="1" t="s">
        <v>1087</v>
      </c>
      <c r="B53" s="1" t="s">
        <v>1088</v>
      </c>
      <c r="C53" s="1" t="e">
        <v>#N/A</v>
      </c>
    </row>
    <row r="54" spans="1:3" hidden="1">
      <c r="A54" s="1" t="s">
        <v>237</v>
      </c>
      <c r="B54" s="1" t="s">
        <v>238</v>
      </c>
      <c r="C54" s="1" t="s">
        <v>236</v>
      </c>
    </row>
    <row r="55" spans="1:3" hidden="1">
      <c r="A55" s="1" t="s">
        <v>218</v>
      </c>
      <c r="B55" s="1" t="s">
        <v>219</v>
      </c>
      <c r="C55" s="1" t="s">
        <v>217</v>
      </c>
    </row>
    <row r="56" spans="1:3" hidden="1">
      <c r="A56" s="1" t="s">
        <v>340</v>
      </c>
      <c r="B56" s="1" t="s">
        <v>341</v>
      </c>
      <c r="C56" s="1" t="s">
        <v>339</v>
      </c>
    </row>
    <row r="57" spans="1:3" hidden="1">
      <c r="A57" s="1" t="s">
        <v>241</v>
      </c>
      <c r="B57" s="1" t="s">
        <v>242</v>
      </c>
      <c r="C57" s="1" t="s">
        <v>240</v>
      </c>
    </row>
    <row r="58" spans="1:3" hidden="1">
      <c r="A58" s="1" t="s">
        <v>202</v>
      </c>
      <c r="B58" s="1" t="s">
        <v>203</v>
      </c>
      <c r="C58" s="1" t="s">
        <v>201</v>
      </c>
    </row>
    <row r="59" spans="1:3" hidden="1">
      <c r="A59" s="1" t="s">
        <v>344</v>
      </c>
      <c r="B59" s="1" t="s">
        <v>345</v>
      </c>
      <c r="C59" s="1" t="s">
        <v>343</v>
      </c>
    </row>
    <row r="60" spans="1:3" hidden="1">
      <c r="A60" s="1" t="s">
        <v>253</v>
      </c>
      <c r="B60" s="1" t="s">
        <v>254</v>
      </c>
      <c r="C60" s="1" t="s">
        <v>252</v>
      </c>
    </row>
    <row r="61" spans="1:3" hidden="1">
      <c r="A61" s="1" t="s">
        <v>257</v>
      </c>
      <c r="B61" s="1" t="s">
        <v>258</v>
      </c>
      <c r="C61" s="1" t="s">
        <v>256</v>
      </c>
    </row>
    <row r="62" spans="1:3" hidden="1">
      <c r="A62" s="1" t="s">
        <v>348</v>
      </c>
      <c r="B62" s="1" t="s">
        <v>349</v>
      </c>
      <c r="C62" s="1" t="s">
        <v>347</v>
      </c>
    </row>
    <row r="63" spans="1:3" hidden="1">
      <c r="A63" s="1" t="s">
        <v>554</v>
      </c>
      <c r="B63" s="1" t="s">
        <v>555</v>
      </c>
      <c r="C63" s="1" t="s">
        <v>553</v>
      </c>
    </row>
    <row r="64" spans="1:3" hidden="1">
      <c r="A64" s="1" t="s">
        <v>84</v>
      </c>
      <c r="B64" s="1" t="s">
        <v>85</v>
      </c>
      <c r="C64" s="1" t="s">
        <v>83</v>
      </c>
    </row>
    <row r="65" spans="1:3" hidden="1">
      <c r="A65" s="1" t="s">
        <v>181</v>
      </c>
      <c r="B65" s="1" t="s">
        <v>182</v>
      </c>
      <c r="C65" s="1" t="s">
        <v>180</v>
      </c>
    </row>
    <row r="66" spans="1:3" hidden="1">
      <c r="A66" s="1" t="s">
        <v>177</v>
      </c>
      <c r="B66" s="1" t="s">
        <v>178</v>
      </c>
      <c r="C66" s="1" t="s">
        <v>176</v>
      </c>
    </row>
    <row r="67" spans="1:3" hidden="1">
      <c r="A67" s="1" t="s">
        <v>265</v>
      </c>
      <c r="B67" s="1" t="s">
        <v>266</v>
      </c>
      <c r="C67" s="1" t="s">
        <v>264</v>
      </c>
    </row>
    <row r="68" spans="1:3" hidden="1">
      <c r="A68" s="1" t="s">
        <v>261</v>
      </c>
      <c r="B68" s="1" t="s">
        <v>262</v>
      </c>
      <c r="C68" s="1" t="s">
        <v>260</v>
      </c>
    </row>
    <row r="69" spans="1:3" hidden="1">
      <c r="A69" s="1" t="s">
        <v>249</v>
      </c>
      <c r="B69" s="1" t="s">
        <v>250</v>
      </c>
      <c r="C69" s="1" t="s">
        <v>248</v>
      </c>
    </row>
    <row r="70" spans="1:3" hidden="1">
      <c r="A70" s="1" t="s">
        <v>269</v>
      </c>
      <c r="B70" s="1" t="s">
        <v>270</v>
      </c>
      <c r="C70" s="1" t="s">
        <v>268</v>
      </c>
    </row>
    <row r="71" spans="1:3" hidden="1">
      <c r="A71" s="1" t="s">
        <v>273</v>
      </c>
      <c r="B71" s="1" t="s">
        <v>274</v>
      </c>
      <c r="C71" s="1" t="s">
        <v>272</v>
      </c>
    </row>
    <row r="72" spans="1:3" hidden="1">
      <c r="A72" s="1" t="s">
        <v>293</v>
      </c>
      <c r="B72" s="1" t="s">
        <v>294</v>
      </c>
      <c r="C72" s="1" t="s">
        <v>292</v>
      </c>
    </row>
    <row r="73" spans="1:3" hidden="1">
      <c r="A73" s="1" t="s">
        <v>301</v>
      </c>
      <c r="B73" s="1" t="s">
        <v>294</v>
      </c>
      <c r="C73" s="1" t="s">
        <v>300</v>
      </c>
    </row>
    <row r="74" spans="1:3" hidden="1">
      <c r="A74" s="1" t="s">
        <v>277</v>
      </c>
      <c r="B74" s="1" t="s">
        <v>278</v>
      </c>
      <c r="C74" s="1" t="s">
        <v>276</v>
      </c>
    </row>
    <row r="75" spans="1:3" hidden="1">
      <c r="A75" s="1" t="s">
        <v>574</v>
      </c>
      <c r="B75" s="1" t="s">
        <v>575</v>
      </c>
      <c r="C75" s="1" t="s">
        <v>573</v>
      </c>
    </row>
    <row r="76" spans="1:3" hidden="1">
      <c r="A76" s="1" t="s">
        <v>384</v>
      </c>
      <c r="B76" s="1" t="s">
        <v>385</v>
      </c>
      <c r="C76" s="1" t="s">
        <v>383</v>
      </c>
    </row>
    <row r="77" spans="1:3" hidden="1">
      <c r="A77" s="1" t="s">
        <v>356</v>
      </c>
      <c r="B77" s="1" t="s">
        <v>357</v>
      </c>
      <c r="C77" s="1" t="s">
        <v>355</v>
      </c>
    </row>
    <row r="78" spans="1:3" hidden="1">
      <c r="A78" s="1" t="s">
        <v>304</v>
      </c>
      <c r="B78" s="1" t="s">
        <v>305</v>
      </c>
      <c r="C78" s="1" t="s">
        <v>303</v>
      </c>
    </row>
    <row r="79" spans="1:3" hidden="1">
      <c r="A79" s="1" t="s">
        <v>297</v>
      </c>
      <c r="B79" s="1" t="s">
        <v>298</v>
      </c>
      <c r="C79" s="1" t="s">
        <v>296</v>
      </c>
    </row>
    <row r="80" spans="1:3" hidden="1">
      <c r="A80" s="1" t="s">
        <v>285</v>
      </c>
      <c r="B80" s="1" t="s">
        <v>286</v>
      </c>
      <c r="C80" s="1" t="s">
        <v>284</v>
      </c>
    </row>
    <row r="81" spans="1:3" hidden="1">
      <c r="A81" s="1" t="s">
        <v>380</v>
      </c>
      <c r="B81" s="1" t="s">
        <v>381</v>
      </c>
      <c r="C81" s="1" t="s">
        <v>379</v>
      </c>
    </row>
    <row r="82" spans="1:3" hidden="1">
      <c r="A82" s="1" t="s">
        <v>369</v>
      </c>
      <c r="B82" s="1" t="s">
        <v>370</v>
      </c>
      <c r="C82" s="1" t="s">
        <v>367</v>
      </c>
    </row>
    <row r="83" spans="1:3" hidden="1">
      <c r="A83" s="1" t="s">
        <v>364</v>
      </c>
      <c r="B83" s="1" t="s">
        <v>365</v>
      </c>
      <c r="C83" s="1" t="s">
        <v>363</v>
      </c>
    </row>
    <row r="84" spans="1:3" hidden="1">
      <c r="A84" s="1" t="s">
        <v>360</v>
      </c>
      <c r="B84" s="1" t="s">
        <v>361</v>
      </c>
      <c r="C84" s="1" t="s">
        <v>359</v>
      </c>
    </row>
    <row r="85" spans="1:3" hidden="1">
      <c r="A85" s="1" t="s">
        <v>352</v>
      </c>
      <c r="B85" s="1" t="s">
        <v>353</v>
      </c>
      <c r="C85" s="1" t="s">
        <v>351</v>
      </c>
    </row>
    <row r="86" spans="1:3" hidden="1">
      <c r="A86" s="1" t="s">
        <v>373</v>
      </c>
      <c r="B86" s="1" t="s">
        <v>374</v>
      </c>
      <c r="C86" s="1" t="s">
        <v>372</v>
      </c>
    </row>
    <row r="87" spans="1:3" hidden="1">
      <c r="A87" s="1" t="s">
        <v>185</v>
      </c>
      <c r="B87" s="1" t="s">
        <v>186</v>
      </c>
      <c r="C87" s="1" t="s">
        <v>184</v>
      </c>
    </row>
    <row r="88" spans="1:3" hidden="1">
      <c r="A88" s="1" t="s">
        <v>316</v>
      </c>
      <c r="B88" s="1" t="s">
        <v>317</v>
      </c>
      <c r="C88" s="1" t="s">
        <v>315</v>
      </c>
    </row>
    <row r="89" spans="1:3" hidden="1">
      <c r="A89" s="1" t="s">
        <v>312</v>
      </c>
      <c r="B89" s="1" t="s">
        <v>313</v>
      </c>
      <c r="C89" s="1" t="s">
        <v>311</v>
      </c>
    </row>
    <row r="90" spans="1:3" hidden="1">
      <c r="A90" s="1" t="s">
        <v>281</v>
      </c>
      <c r="B90" s="1" t="s">
        <v>282</v>
      </c>
      <c r="C90" s="1" t="s">
        <v>280</v>
      </c>
    </row>
    <row r="91" spans="1:3" hidden="1">
      <c r="A91" s="1" t="s">
        <v>308</v>
      </c>
      <c r="B91" s="1" t="s">
        <v>309</v>
      </c>
      <c r="C91" s="1" t="s">
        <v>307</v>
      </c>
    </row>
    <row r="92" spans="1:3" hidden="1">
      <c r="A92" s="1" t="s">
        <v>289</v>
      </c>
      <c r="B92" s="1" t="s">
        <v>290</v>
      </c>
      <c r="C92" s="1" t="s">
        <v>288</v>
      </c>
    </row>
    <row r="93" spans="1:3" hidden="1">
      <c r="A93" s="1" t="s">
        <v>570</v>
      </c>
      <c r="B93" s="1" t="s">
        <v>571</v>
      </c>
      <c r="C93" s="1" t="s">
        <v>569</v>
      </c>
    </row>
    <row r="94" spans="1:3" hidden="1">
      <c r="A94" s="1" t="s">
        <v>578</v>
      </c>
      <c r="B94" s="1" t="s">
        <v>579</v>
      </c>
      <c r="C94" s="1" t="s">
        <v>577</v>
      </c>
    </row>
    <row r="95" spans="1:3" hidden="1">
      <c r="A95" s="1" t="s">
        <v>320</v>
      </c>
      <c r="B95" s="1" t="s">
        <v>321</v>
      </c>
      <c r="C95" s="1" t="s">
        <v>319</v>
      </c>
    </row>
    <row r="96" spans="1:3" hidden="1">
      <c r="A96" s="1" t="s">
        <v>324</v>
      </c>
      <c r="B96" s="1" t="s">
        <v>325</v>
      </c>
      <c r="C96" s="1" t="s">
        <v>323</v>
      </c>
    </row>
    <row r="97" spans="1:3" hidden="1">
      <c r="A97" s="1" t="s">
        <v>392</v>
      </c>
      <c r="B97" s="1" t="s">
        <v>393</v>
      </c>
      <c r="C97" s="1" t="s">
        <v>391</v>
      </c>
    </row>
    <row r="98" spans="1:3" hidden="1">
      <c r="A98" s="1" t="s">
        <v>396</v>
      </c>
      <c r="B98" s="1" t="s">
        <v>397</v>
      </c>
      <c r="C98" s="1" t="s">
        <v>395</v>
      </c>
    </row>
    <row r="99" spans="1:3" hidden="1">
      <c r="A99" s="1" t="s">
        <v>388</v>
      </c>
      <c r="B99" s="1" t="s">
        <v>389</v>
      </c>
      <c r="C99" s="1" t="s">
        <v>387</v>
      </c>
    </row>
    <row r="100" spans="1:3" hidden="1">
      <c r="A100" s="1" t="s">
        <v>411</v>
      </c>
      <c r="B100" s="1" t="s">
        <v>412</v>
      </c>
      <c r="C100" s="1" t="s">
        <v>410</v>
      </c>
    </row>
    <row r="101" spans="1:3" hidden="1">
      <c r="A101" s="1" t="s">
        <v>431</v>
      </c>
      <c r="B101" s="1" t="s">
        <v>412</v>
      </c>
      <c r="C101" s="1" t="s">
        <v>430</v>
      </c>
    </row>
    <row r="102" spans="1:3" hidden="1">
      <c r="A102" s="1" t="s">
        <v>586</v>
      </c>
      <c r="B102" s="1" t="s">
        <v>587</v>
      </c>
      <c r="C102" s="1" t="s">
        <v>585</v>
      </c>
    </row>
    <row r="103" spans="1:3" hidden="1">
      <c r="A103" s="1" t="s">
        <v>590</v>
      </c>
      <c r="B103" s="1" t="s">
        <v>591</v>
      </c>
      <c r="C103" s="1" t="s">
        <v>589</v>
      </c>
    </row>
    <row r="104" spans="1:3" hidden="1">
      <c r="A104" s="1" t="s">
        <v>598</v>
      </c>
      <c r="B104" s="1" t="s">
        <v>599</v>
      </c>
      <c r="C104" s="1" t="s">
        <v>597</v>
      </c>
    </row>
    <row r="105" spans="1:3" hidden="1">
      <c r="A105" s="1" t="s">
        <v>400</v>
      </c>
      <c r="B105" s="1" t="s">
        <v>401</v>
      </c>
      <c r="C105" s="1" t="s">
        <v>399</v>
      </c>
    </row>
    <row r="106" spans="1:3" hidden="1">
      <c r="A106" s="1" t="s">
        <v>602</v>
      </c>
      <c r="B106" s="1" t="s">
        <v>603</v>
      </c>
      <c r="C106" s="1" t="s">
        <v>601</v>
      </c>
    </row>
    <row r="107" spans="1:3" hidden="1">
      <c r="A107" s="1" t="s">
        <v>328</v>
      </c>
      <c r="B107" s="1" t="s">
        <v>329</v>
      </c>
      <c r="C107" s="1" t="s">
        <v>327</v>
      </c>
    </row>
    <row r="108" spans="1:3" hidden="1">
      <c r="A108" s="1" t="s">
        <v>419</v>
      </c>
      <c r="B108" s="1" t="s">
        <v>420</v>
      </c>
      <c r="C108" s="1" t="s">
        <v>418</v>
      </c>
    </row>
    <row r="109" spans="1:3" hidden="1">
      <c r="A109" s="1" t="s">
        <v>423</v>
      </c>
      <c r="B109" s="1" t="s">
        <v>424</v>
      </c>
      <c r="C109" s="1" t="s">
        <v>422</v>
      </c>
    </row>
    <row r="110" spans="1:3" hidden="1">
      <c r="A110" s="1" t="s">
        <v>594</v>
      </c>
      <c r="B110" s="1" t="s">
        <v>595</v>
      </c>
      <c r="C110" s="1" t="s">
        <v>593</v>
      </c>
    </row>
    <row r="111" spans="1:3" hidden="1">
      <c r="A111" s="1" t="s">
        <v>606</v>
      </c>
      <c r="B111" s="1" t="s">
        <v>607</v>
      </c>
      <c r="C111" s="1" t="s">
        <v>605</v>
      </c>
    </row>
    <row r="112" spans="1:3" hidden="1">
      <c r="A112" s="1" t="s">
        <v>582</v>
      </c>
      <c r="B112" s="1" t="s">
        <v>583</v>
      </c>
      <c r="C112" s="1" t="s">
        <v>581</v>
      </c>
    </row>
    <row r="113" spans="1:3" hidden="1">
      <c r="A113" s="1" t="s">
        <v>415</v>
      </c>
      <c r="B113" s="1" t="s">
        <v>416</v>
      </c>
      <c r="C113" s="1" t="s">
        <v>414</v>
      </c>
    </row>
    <row r="114" spans="1:3" hidden="1">
      <c r="A114" s="1" t="s">
        <v>427</v>
      </c>
      <c r="B114" s="1" t="s">
        <v>428</v>
      </c>
      <c r="C114" s="1" t="s">
        <v>426</v>
      </c>
    </row>
    <row r="115" spans="1:3" hidden="1">
      <c r="A115" s="1" t="s">
        <v>407</v>
      </c>
      <c r="B115" s="1" t="s">
        <v>408</v>
      </c>
      <c r="C115" s="1" t="s">
        <v>406</v>
      </c>
    </row>
    <row r="116" spans="1:3" hidden="1">
      <c r="A116" s="1" t="s">
        <v>434</v>
      </c>
      <c r="B116" s="1" t="s">
        <v>435</v>
      </c>
      <c r="C116" s="1" t="s">
        <v>433</v>
      </c>
    </row>
    <row r="117" spans="1:3" hidden="1">
      <c r="A117" s="1" t="s">
        <v>626</v>
      </c>
      <c r="B117" s="1" t="s">
        <v>627</v>
      </c>
      <c r="C117" s="1" t="s">
        <v>625</v>
      </c>
    </row>
    <row r="118" spans="1:3" hidden="1">
      <c r="A118" s="1" t="s">
        <v>614</v>
      </c>
      <c r="B118" s="1" t="s">
        <v>615</v>
      </c>
      <c r="C118" s="1" t="s">
        <v>613</v>
      </c>
    </row>
    <row r="119" spans="1:3" hidden="1">
      <c r="A119" s="1" t="s">
        <v>749</v>
      </c>
      <c r="B119" s="1" t="s">
        <v>750</v>
      </c>
      <c r="C119" s="1" t="s">
        <v>748</v>
      </c>
    </row>
    <row r="120" spans="1:3" hidden="1">
      <c r="A120" s="1" t="s">
        <v>458</v>
      </c>
      <c r="B120" s="1" t="s">
        <v>459</v>
      </c>
      <c r="C120" s="1" t="s">
        <v>457</v>
      </c>
    </row>
    <row r="121" spans="1:3" hidden="1">
      <c r="A121" s="1" t="s">
        <v>442</v>
      </c>
      <c r="B121" s="1" t="s">
        <v>443</v>
      </c>
      <c r="C121" s="1" t="s">
        <v>441</v>
      </c>
    </row>
    <row r="122" spans="1:3" hidden="1">
      <c r="A122" s="1" t="s">
        <v>730</v>
      </c>
      <c r="B122" s="1" t="s">
        <v>731</v>
      </c>
      <c r="C122" s="1" t="s">
        <v>729</v>
      </c>
    </row>
    <row r="123" spans="1:3" hidden="1">
      <c r="A123" s="1" t="s">
        <v>634</v>
      </c>
      <c r="B123" s="1" t="s">
        <v>635</v>
      </c>
      <c r="C123" s="1" t="s">
        <v>633</v>
      </c>
    </row>
    <row r="124" spans="1:3" hidden="1">
      <c r="A124" s="1" t="s">
        <v>638</v>
      </c>
      <c r="B124" s="1" t="s">
        <v>639</v>
      </c>
      <c r="C124" s="1" t="s">
        <v>637</v>
      </c>
    </row>
    <row r="125" spans="1:3" hidden="1">
      <c r="A125" s="1" t="s">
        <v>618</v>
      </c>
      <c r="B125" s="1" t="s">
        <v>619</v>
      </c>
      <c r="C125" s="1" t="s">
        <v>617</v>
      </c>
    </row>
    <row r="126" spans="1:3" hidden="1">
      <c r="A126" s="1" t="s">
        <v>446</v>
      </c>
      <c r="B126" s="1" t="s">
        <v>447</v>
      </c>
      <c r="C126" s="1" t="s">
        <v>445</v>
      </c>
    </row>
    <row r="127" spans="1:3" hidden="1">
      <c r="A127" s="1" t="s">
        <v>506</v>
      </c>
      <c r="B127" s="1" t="s">
        <v>507</v>
      </c>
      <c r="C127" s="1" t="s">
        <v>505</v>
      </c>
    </row>
    <row r="128" spans="1:3" hidden="1">
      <c r="A128" s="1" t="s">
        <v>630</v>
      </c>
      <c r="B128" s="1" t="s">
        <v>631</v>
      </c>
      <c r="C128" s="1" t="s">
        <v>629</v>
      </c>
    </row>
    <row r="129" spans="1:3" hidden="1">
      <c r="A129" s="1" t="s">
        <v>734</v>
      </c>
      <c r="B129" s="1" t="s">
        <v>735</v>
      </c>
      <c r="C129" s="1" t="s">
        <v>733</v>
      </c>
    </row>
    <row r="130" spans="1:3" hidden="1">
      <c r="A130" s="1" t="s">
        <v>658</v>
      </c>
      <c r="B130" s="1" t="s">
        <v>659</v>
      </c>
      <c r="C130" s="1" t="s">
        <v>657</v>
      </c>
    </row>
    <row r="131" spans="1:3" hidden="1">
      <c r="A131" s="1" t="s">
        <v>622</v>
      </c>
      <c r="B131" s="1" t="s">
        <v>623</v>
      </c>
      <c r="C131" s="1" t="s">
        <v>621</v>
      </c>
    </row>
    <row r="132" spans="1:3" hidden="1">
      <c r="A132" s="1" t="s">
        <v>642</v>
      </c>
      <c r="B132" s="1" t="s">
        <v>643</v>
      </c>
      <c r="C132" s="1" t="s">
        <v>641</v>
      </c>
    </row>
    <row r="133" spans="1:3" hidden="1">
      <c r="A133" s="1" t="s">
        <v>646</v>
      </c>
      <c r="B133" s="1" t="s">
        <v>647</v>
      </c>
      <c r="C133" s="1" t="s">
        <v>645</v>
      </c>
    </row>
    <row r="134" spans="1:3" hidden="1">
      <c r="A134" s="1" t="s">
        <v>650</v>
      </c>
      <c r="B134" s="1" t="s">
        <v>651</v>
      </c>
      <c r="C134" s="1" t="s">
        <v>649</v>
      </c>
    </row>
    <row r="135" spans="1:3" hidden="1">
      <c r="A135" s="1" t="s">
        <v>510</v>
      </c>
      <c r="B135" s="1" t="s">
        <v>511</v>
      </c>
      <c r="C135" s="1" t="s">
        <v>509</v>
      </c>
    </row>
    <row r="136" spans="1:3" hidden="1">
      <c r="A136" s="1" t="s">
        <v>514</v>
      </c>
      <c r="B136" s="1" t="s">
        <v>515</v>
      </c>
      <c r="C136" s="1" t="s">
        <v>513</v>
      </c>
    </row>
    <row r="137" spans="1:3" hidden="1">
      <c r="A137" s="1" t="s">
        <v>470</v>
      </c>
      <c r="B137" s="1" t="s">
        <v>471</v>
      </c>
      <c r="C137" s="1" t="s">
        <v>469</v>
      </c>
    </row>
    <row r="138" spans="1:3" hidden="1">
      <c r="A138" s="1" t="s">
        <v>814</v>
      </c>
      <c r="B138" s="1" t="s">
        <v>815</v>
      </c>
      <c r="C138" s="1" t="s">
        <v>813</v>
      </c>
    </row>
    <row r="139" spans="1:3" hidden="1">
      <c r="A139" s="1" t="s">
        <v>826</v>
      </c>
      <c r="B139" s="1" t="s">
        <v>827</v>
      </c>
      <c r="C139" s="1" t="s">
        <v>825</v>
      </c>
    </row>
    <row r="140" spans="1:3" hidden="1">
      <c r="A140" s="1" t="s">
        <v>921</v>
      </c>
      <c r="B140" s="1" t="s">
        <v>827</v>
      </c>
      <c r="C140" s="1" t="s">
        <v>920</v>
      </c>
    </row>
    <row r="141" spans="1:3" hidden="1">
      <c r="A141" s="1" t="s">
        <v>810</v>
      </c>
      <c r="B141" s="1" t="s">
        <v>811</v>
      </c>
      <c r="C141" s="1" t="s">
        <v>809</v>
      </c>
    </row>
    <row r="142" spans="1:3" hidden="1">
      <c r="A142" s="1" t="s">
        <v>974</v>
      </c>
      <c r="B142" s="1" t="s">
        <v>975</v>
      </c>
      <c r="C142" s="1" t="s">
        <v>973</v>
      </c>
    </row>
    <row r="143" spans="1:3" hidden="1">
      <c r="A143" s="1" t="s">
        <v>830</v>
      </c>
      <c r="B143" s="1" t="s">
        <v>831</v>
      </c>
      <c r="C143" s="1" t="s">
        <v>829</v>
      </c>
    </row>
    <row r="144" spans="1:3" hidden="1">
      <c r="A144" s="1" t="s">
        <v>834</v>
      </c>
      <c r="B144" s="1" t="s">
        <v>835</v>
      </c>
      <c r="C144" s="1" t="s">
        <v>833</v>
      </c>
    </row>
    <row r="145" spans="1:3" hidden="1">
      <c r="A145" s="1" t="s">
        <v>979</v>
      </c>
      <c r="B145" s="1" t="s">
        <v>980</v>
      </c>
      <c r="C145" s="1" t="s">
        <v>978</v>
      </c>
    </row>
    <row r="146" spans="1:3" hidden="1">
      <c r="A146" s="1" t="s">
        <v>670</v>
      </c>
      <c r="B146" s="1" t="s">
        <v>671</v>
      </c>
      <c r="C146" s="1" t="s">
        <v>669</v>
      </c>
    </row>
    <row r="147" spans="1:3" hidden="1">
      <c r="A147" s="1" t="s">
        <v>741</v>
      </c>
      <c r="B147" s="1" t="s">
        <v>742</v>
      </c>
      <c r="C147" s="1" t="s">
        <v>740</v>
      </c>
    </row>
    <row r="148" spans="1:3" hidden="1">
      <c r="A148" s="1" t="s">
        <v>674</v>
      </c>
      <c r="B148" s="1" t="s">
        <v>675</v>
      </c>
      <c r="C148" s="1" t="s">
        <v>673</v>
      </c>
    </row>
    <row r="149" spans="1:3" hidden="1">
      <c r="A149" s="1" t="s">
        <v>745</v>
      </c>
      <c r="B149" s="1" t="s">
        <v>746</v>
      </c>
      <c r="C149" s="1" t="s">
        <v>744</v>
      </c>
    </row>
    <row r="150" spans="1:3" hidden="1">
      <c r="A150" s="1" t="s">
        <v>793</v>
      </c>
      <c r="B150" s="1" t="s">
        <v>794</v>
      </c>
      <c r="C150" s="1" t="s">
        <v>792</v>
      </c>
    </row>
    <row r="151" spans="1:3" hidden="1">
      <c r="A151" s="1" t="s">
        <v>874</v>
      </c>
      <c r="B151" s="1" t="s">
        <v>875</v>
      </c>
      <c r="C151" s="1" t="s">
        <v>873</v>
      </c>
    </row>
    <row r="152" spans="1:3" hidden="1">
      <c r="A152" s="1" t="s">
        <v>838</v>
      </c>
      <c r="B152" s="1" t="s">
        <v>839</v>
      </c>
      <c r="C152" s="1" t="s">
        <v>837</v>
      </c>
    </row>
    <row r="153" spans="1:3">
      <c r="A153" s="1" t="s">
        <v>818</v>
      </c>
      <c r="B153" s="1" t="s">
        <v>819</v>
      </c>
      <c r="C153" s="1" t="s">
        <v>817</v>
      </c>
    </row>
    <row r="154" spans="1:3" hidden="1">
      <c r="A154" s="1" t="s">
        <v>842</v>
      </c>
      <c r="B154" s="1" t="s">
        <v>843</v>
      </c>
      <c r="C154" s="1" t="s">
        <v>841</v>
      </c>
    </row>
    <row r="155" spans="1:3" hidden="1">
      <c r="A155" s="1" t="s">
        <v>870</v>
      </c>
      <c r="B155" s="1" t="s">
        <v>871</v>
      </c>
      <c r="C155" s="1" t="s">
        <v>869</v>
      </c>
    </row>
    <row r="156" spans="1:3" hidden="1">
      <c r="A156" s="1" t="s">
        <v>666</v>
      </c>
      <c r="B156" s="1" t="s">
        <v>667</v>
      </c>
      <c r="C156" s="1" t="s">
        <v>665</v>
      </c>
    </row>
    <row r="157" spans="1:3" hidden="1">
      <c r="A157" s="1" t="s">
        <v>694</v>
      </c>
      <c r="B157" s="1" t="s">
        <v>695</v>
      </c>
      <c r="C157" s="1" t="s">
        <v>693</v>
      </c>
    </row>
    <row r="158" spans="1:3" hidden="1">
      <c r="A158" s="1" t="s">
        <v>1089</v>
      </c>
      <c r="B158" s="1" t="s">
        <v>1090</v>
      </c>
      <c r="C158" s="1" t="s">
        <v>693</v>
      </c>
    </row>
    <row r="159" spans="1:3" hidden="1">
      <c r="A159" s="1" t="s">
        <v>654</v>
      </c>
      <c r="B159" s="1" t="s">
        <v>655</v>
      </c>
      <c r="C159" s="1" t="s">
        <v>653</v>
      </c>
    </row>
    <row r="160" spans="1:3" hidden="1">
      <c r="A160" s="1" t="s">
        <v>482</v>
      </c>
      <c r="B160" s="1" t="s">
        <v>483</v>
      </c>
      <c r="C160" s="1" t="s">
        <v>481</v>
      </c>
    </row>
    <row r="161" spans="1:3" hidden="1">
      <c r="A161" s="1" t="s">
        <v>450</v>
      </c>
      <c r="B161" s="1" t="s">
        <v>451</v>
      </c>
      <c r="C161" s="1" t="s">
        <v>449</v>
      </c>
    </row>
    <row r="162" spans="1:3" hidden="1">
      <c r="A162" s="1" t="s">
        <v>490</v>
      </c>
      <c r="B162" s="1" t="s">
        <v>491</v>
      </c>
      <c r="C162" s="1" t="s">
        <v>489</v>
      </c>
    </row>
    <row r="163" spans="1:3" hidden="1">
      <c r="A163" s="1" t="s">
        <v>502</v>
      </c>
      <c r="B163" s="1" t="s">
        <v>503</v>
      </c>
      <c r="C163" s="1" t="s">
        <v>501</v>
      </c>
    </row>
    <row r="164" spans="1:3" hidden="1">
      <c r="A164" s="1" t="s">
        <v>438</v>
      </c>
      <c r="B164" s="1" t="s">
        <v>439</v>
      </c>
      <c r="C164" s="1" t="s">
        <v>437</v>
      </c>
    </row>
    <row r="165" spans="1:3" hidden="1">
      <c r="A165" s="1" t="s">
        <v>522</v>
      </c>
      <c r="B165" s="1" t="s">
        <v>523</v>
      </c>
      <c r="C165" s="1" t="s">
        <v>521</v>
      </c>
    </row>
    <row r="166" spans="1:3" hidden="1">
      <c r="A166" s="1" t="s">
        <v>478</v>
      </c>
      <c r="B166" s="1" t="s">
        <v>479</v>
      </c>
      <c r="C166" s="1" t="s">
        <v>477</v>
      </c>
    </row>
    <row r="167" spans="1:3" hidden="1">
      <c r="A167" s="1" t="s">
        <v>454</v>
      </c>
      <c r="B167" s="1" t="s">
        <v>455</v>
      </c>
      <c r="C167" s="1" t="s">
        <v>453</v>
      </c>
    </row>
    <row r="168" spans="1:3" hidden="1">
      <c r="A168" s="1" t="s">
        <v>466</v>
      </c>
      <c r="B168" s="1" t="s">
        <v>467</v>
      </c>
      <c r="C168" s="1" t="s">
        <v>465</v>
      </c>
    </row>
    <row r="169" spans="1:3" hidden="1">
      <c r="A169" s="1" t="s">
        <v>662</v>
      </c>
      <c r="B169" s="1" t="s">
        <v>663</v>
      </c>
      <c r="C169" s="1" t="s">
        <v>661</v>
      </c>
    </row>
    <row r="170" spans="1:3" hidden="1">
      <c r="A170" s="1" t="s">
        <v>678</v>
      </c>
      <c r="B170" s="1" t="s">
        <v>679</v>
      </c>
      <c r="C170" s="1" t="s">
        <v>677</v>
      </c>
    </row>
    <row r="171" spans="1:3" hidden="1">
      <c r="A171" s="1" t="s">
        <v>474</v>
      </c>
      <c r="B171" s="1" t="s">
        <v>475</v>
      </c>
      <c r="C171" s="1" t="s">
        <v>473</v>
      </c>
    </row>
    <row r="172" spans="1:3" hidden="1">
      <c r="A172" s="1" t="s">
        <v>862</v>
      </c>
      <c r="B172" s="1" t="s">
        <v>863</v>
      </c>
      <c r="C172" s="1" t="s">
        <v>861</v>
      </c>
    </row>
    <row r="173" spans="1:3" hidden="1">
      <c r="A173" s="1" t="s">
        <v>882</v>
      </c>
      <c r="B173" s="1" t="s">
        <v>883</v>
      </c>
      <c r="C173" s="1" t="s">
        <v>881</v>
      </c>
    </row>
    <row r="174" spans="1:3" hidden="1">
      <c r="A174" s="1" t="s">
        <v>854</v>
      </c>
      <c r="B174" s="1" t="s">
        <v>855</v>
      </c>
      <c r="C174" s="1" t="s">
        <v>853</v>
      </c>
    </row>
    <row r="175" spans="1:3" hidden="1">
      <c r="A175" s="1" t="s">
        <v>850</v>
      </c>
      <c r="B175" s="1" t="s">
        <v>851</v>
      </c>
      <c r="C175" s="1" t="s">
        <v>849</v>
      </c>
    </row>
    <row r="176" spans="1:3" hidden="1">
      <c r="A176" s="1" t="s">
        <v>686</v>
      </c>
      <c r="B176" s="1" t="s">
        <v>687</v>
      </c>
      <c r="C176" s="1" t="s">
        <v>685</v>
      </c>
    </row>
    <row r="177" spans="1:3" hidden="1">
      <c r="A177" s="1" t="s">
        <v>917</v>
      </c>
      <c r="B177" s="1" t="s">
        <v>918</v>
      </c>
      <c r="C177" s="1" t="s">
        <v>916</v>
      </c>
    </row>
    <row r="178" spans="1:3" hidden="1">
      <c r="A178" s="1" t="s">
        <v>866</v>
      </c>
      <c r="B178" s="1" t="s">
        <v>867</v>
      </c>
      <c r="C178" s="1" t="s">
        <v>865</v>
      </c>
    </row>
    <row r="179" spans="1:3" hidden="1">
      <c r="A179" s="1" t="s">
        <v>983</v>
      </c>
      <c r="B179" s="1" t="s">
        <v>984</v>
      </c>
      <c r="C179" s="1" t="s">
        <v>982</v>
      </c>
    </row>
    <row r="180" spans="1:3" hidden="1">
      <c r="A180" s="1" t="s">
        <v>682</v>
      </c>
      <c r="B180" s="1" t="s">
        <v>683</v>
      </c>
      <c r="C180" s="1" t="s">
        <v>681</v>
      </c>
    </row>
    <row r="181" spans="1:3" hidden="1">
      <c r="A181" s="1" t="s">
        <v>690</v>
      </c>
      <c r="B181" s="1" t="s">
        <v>691</v>
      </c>
      <c r="C181" s="1" t="s">
        <v>689</v>
      </c>
    </row>
    <row r="182" spans="1:3" hidden="1">
      <c r="A182" s="1" t="s">
        <v>858</v>
      </c>
      <c r="B182" s="1" t="s">
        <v>859</v>
      </c>
      <c r="C182" s="1" t="s">
        <v>857</v>
      </c>
    </row>
    <row r="183" spans="1:3" hidden="1">
      <c r="A183" s="1" t="s">
        <v>990</v>
      </c>
      <c r="B183" s="1" t="s">
        <v>991</v>
      </c>
      <c r="C183" s="1" t="s">
        <v>989</v>
      </c>
    </row>
    <row r="184" spans="1:3" hidden="1">
      <c r="A184" s="1" t="s">
        <v>970</v>
      </c>
      <c r="B184" s="1" t="s">
        <v>971</v>
      </c>
      <c r="C184" s="1" t="s">
        <v>969</v>
      </c>
    </row>
    <row r="185" spans="1:3" hidden="1">
      <c r="A185" s="1" t="s">
        <v>878</v>
      </c>
      <c r="B185" s="1" t="s">
        <v>879</v>
      </c>
      <c r="C185" s="1" t="s">
        <v>877</v>
      </c>
    </row>
    <row r="186" spans="1:3" hidden="1">
      <c r="A186" s="1" t="s">
        <v>998</v>
      </c>
      <c r="B186" s="1" t="s">
        <v>999</v>
      </c>
      <c r="C186" s="1" t="s">
        <v>997</v>
      </c>
    </row>
    <row r="187" spans="1:3" hidden="1">
      <c r="A187" s="1" t="s">
        <v>966</v>
      </c>
      <c r="B187" s="1" t="s">
        <v>967</v>
      </c>
      <c r="C187" s="1" t="s">
        <v>965</v>
      </c>
    </row>
    <row r="188" spans="1:3" hidden="1">
      <c r="A188" s="1" t="s">
        <v>924</v>
      </c>
      <c r="B188" s="1" t="s">
        <v>925</v>
      </c>
      <c r="C188" s="1" t="s">
        <v>923</v>
      </c>
    </row>
    <row r="189" spans="1:3" hidden="1">
      <c r="A189" s="1" t="s">
        <v>1067</v>
      </c>
      <c r="B189" s="1" t="s">
        <v>1068</v>
      </c>
      <c r="C189" s="1" t="s">
        <v>1066</v>
      </c>
    </row>
    <row r="190" spans="1:3" hidden="1">
      <c r="A190" s="1" t="s">
        <v>894</v>
      </c>
      <c r="B190" s="1" t="s">
        <v>895</v>
      </c>
      <c r="C190" s="1" t="s">
        <v>893</v>
      </c>
    </row>
    <row r="191" spans="1:3" hidden="1">
      <c r="A191" s="1" t="s">
        <v>1002</v>
      </c>
      <c r="B191" s="1" t="s">
        <v>1003</v>
      </c>
      <c r="C191" s="1" t="s">
        <v>1001</v>
      </c>
    </row>
    <row r="192" spans="1:3" hidden="1">
      <c r="A192" s="1" t="s">
        <v>1006</v>
      </c>
      <c r="B192" s="1" t="s">
        <v>1007</v>
      </c>
      <c r="C192" s="1" t="s">
        <v>1005</v>
      </c>
    </row>
    <row r="193" spans="1:3" hidden="1">
      <c r="A193" s="1" t="s">
        <v>706</v>
      </c>
      <c r="B193" s="1" t="s">
        <v>707</v>
      </c>
      <c r="C193" s="1" t="s">
        <v>705</v>
      </c>
    </row>
    <row r="194" spans="1:3" hidden="1">
      <c r="A194" s="1" t="s">
        <v>898</v>
      </c>
      <c r="B194" s="1" t="s">
        <v>899</v>
      </c>
      <c r="C194" s="1" t="s">
        <v>897</v>
      </c>
    </row>
    <row r="195" spans="1:3" hidden="1">
      <c r="A195" s="1" t="s">
        <v>805</v>
      </c>
      <c r="B195" s="1" t="s">
        <v>806</v>
      </c>
      <c r="C195" s="1" t="s">
        <v>804</v>
      </c>
    </row>
    <row r="196" spans="1:3" hidden="1">
      <c r="A196" s="1" t="s">
        <v>890</v>
      </c>
      <c r="B196" s="1" t="s">
        <v>891</v>
      </c>
      <c r="C196" s="1" t="s">
        <v>889</v>
      </c>
    </row>
    <row r="197" spans="1:3" hidden="1">
      <c r="A197" s="1" t="s">
        <v>886</v>
      </c>
      <c r="B197" s="1" t="s">
        <v>887</v>
      </c>
      <c r="C197" s="1" t="s">
        <v>885</v>
      </c>
    </row>
    <row r="198" spans="1:3" hidden="1">
      <c r="A198" s="1" t="s">
        <v>928</v>
      </c>
      <c r="B198" s="1" t="s">
        <v>929</v>
      </c>
      <c r="C198" s="1" t="s">
        <v>927</v>
      </c>
    </row>
    <row r="199" spans="1:3" hidden="1">
      <c r="A199" s="1" t="s">
        <v>902</v>
      </c>
      <c r="B199" s="1" t="s">
        <v>903</v>
      </c>
      <c r="C199" s="1" t="s">
        <v>901</v>
      </c>
    </row>
    <row r="200" spans="1:3" hidden="1">
      <c r="A200" s="1" t="s">
        <v>994</v>
      </c>
      <c r="B200" s="1" t="s">
        <v>995</v>
      </c>
      <c r="C200" s="1" t="s">
        <v>993</v>
      </c>
    </row>
    <row r="201" spans="1:3" hidden="1">
      <c r="A201" s="1" t="s">
        <v>846</v>
      </c>
      <c r="B201" s="1" t="s">
        <v>847</v>
      </c>
      <c r="C201" s="1" t="s">
        <v>845</v>
      </c>
    </row>
    <row r="202" spans="1:3" hidden="1">
      <c r="A202" s="1" t="s">
        <v>714</v>
      </c>
      <c r="B202" s="1" t="s">
        <v>715</v>
      </c>
      <c r="C202" s="1" t="s">
        <v>713</v>
      </c>
    </row>
    <row r="203" spans="1:3" hidden="1">
      <c r="A203" s="1" t="s">
        <v>785</v>
      </c>
      <c r="B203" s="1" t="s">
        <v>786</v>
      </c>
      <c r="C203" s="1" t="s">
        <v>784</v>
      </c>
    </row>
    <row r="204" spans="1:3" hidden="1">
      <c r="A204" s="1" t="s">
        <v>610</v>
      </c>
      <c r="B204" s="1" t="s">
        <v>611</v>
      </c>
      <c r="C204" s="1" t="s">
        <v>609</v>
      </c>
    </row>
    <row r="205" spans="1:3" hidden="1">
      <c r="A205" s="1" t="s">
        <v>702</v>
      </c>
      <c r="B205" s="1" t="s">
        <v>703</v>
      </c>
      <c r="C205" s="1" t="s">
        <v>701</v>
      </c>
    </row>
    <row r="206" spans="1:3" hidden="1">
      <c r="A206" s="1" t="s">
        <v>710</v>
      </c>
      <c r="B206" s="1" t="s">
        <v>711</v>
      </c>
      <c r="C206" s="1" t="s">
        <v>709</v>
      </c>
    </row>
    <row r="207" spans="1:3" hidden="1">
      <c r="A207" s="1" t="s">
        <v>769</v>
      </c>
      <c r="B207" s="1" t="s">
        <v>770</v>
      </c>
      <c r="C207" s="1" t="s">
        <v>768</v>
      </c>
    </row>
    <row r="208" spans="1:3" hidden="1">
      <c r="A208" s="1" t="s">
        <v>753</v>
      </c>
      <c r="B208" s="1" t="s">
        <v>754</v>
      </c>
      <c r="C208" s="1" t="s">
        <v>752</v>
      </c>
    </row>
    <row r="209" spans="1:3" hidden="1">
      <c r="A209" s="1" t="s">
        <v>518</v>
      </c>
      <c r="B209" s="1" t="s">
        <v>519</v>
      </c>
      <c r="C209" s="1" t="s">
        <v>517</v>
      </c>
    </row>
    <row r="210" spans="1:3" hidden="1">
      <c r="A210" s="1" t="s">
        <v>494</v>
      </c>
      <c r="B210" s="1" t="s">
        <v>495</v>
      </c>
      <c r="C210" s="1" t="s">
        <v>493</v>
      </c>
    </row>
    <row r="211" spans="1:3" hidden="1">
      <c r="A211" s="1" t="s">
        <v>498</v>
      </c>
      <c r="B211" s="1" t="s">
        <v>499</v>
      </c>
      <c r="C211" s="1" t="s">
        <v>497</v>
      </c>
    </row>
    <row r="212" spans="1:3" hidden="1">
      <c r="A212" s="1" t="s">
        <v>486</v>
      </c>
      <c r="B212" s="1" t="s">
        <v>487</v>
      </c>
      <c r="C212" s="1" t="s">
        <v>485</v>
      </c>
    </row>
    <row r="213" spans="1:3" hidden="1">
      <c r="A213" s="1" t="s">
        <v>526</v>
      </c>
      <c r="B213" s="1" t="s">
        <v>527</v>
      </c>
      <c r="C213" s="1" t="s">
        <v>525</v>
      </c>
    </row>
    <row r="214" spans="1:3" hidden="1">
      <c r="A214" s="1" t="s">
        <v>789</v>
      </c>
      <c r="B214" s="1" t="s">
        <v>790</v>
      </c>
      <c r="C214" s="1" t="s">
        <v>788</v>
      </c>
    </row>
    <row r="215" spans="1:3" hidden="1">
      <c r="A215" s="1" t="s">
        <v>1010</v>
      </c>
      <c r="B215" s="1" t="s">
        <v>1011</v>
      </c>
      <c r="C215" s="1" t="s">
        <v>1009</v>
      </c>
    </row>
    <row r="216" spans="1:3" hidden="1">
      <c r="A216" s="1" t="s">
        <v>909</v>
      </c>
      <c r="B216" s="1" t="s">
        <v>910</v>
      </c>
      <c r="C216" s="1" t="s">
        <v>908</v>
      </c>
    </row>
    <row r="217" spans="1:3" hidden="1">
      <c r="A217" s="1" t="s">
        <v>1014</v>
      </c>
      <c r="B217" s="1" t="s">
        <v>1015</v>
      </c>
      <c r="C217" s="1" t="s">
        <v>1013</v>
      </c>
    </row>
    <row r="218" spans="1:3" hidden="1">
      <c r="A218" s="1" t="s">
        <v>1018</v>
      </c>
      <c r="B218" s="1" t="s">
        <v>1019</v>
      </c>
      <c r="C218" s="1" t="s">
        <v>1017</v>
      </c>
    </row>
    <row r="219" spans="1:3" hidden="1">
      <c r="A219" s="1" t="s">
        <v>913</v>
      </c>
      <c r="B219" s="1" t="s">
        <v>914</v>
      </c>
      <c r="C219" s="1" t="s">
        <v>912</v>
      </c>
    </row>
    <row r="220" spans="1:3" hidden="1">
      <c r="A220" s="1" t="s">
        <v>1062</v>
      </c>
      <c r="B220" s="1" t="s">
        <v>1063</v>
      </c>
      <c r="C220" s="1" t="s">
        <v>1061</v>
      </c>
    </row>
    <row r="221" spans="1:3" hidden="1">
      <c r="A221" s="1" t="s">
        <v>726</v>
      </c>
      <c r="B221" s="1" t="s">
        <v>727</v>
      </c>
      <c r="C221" s="1" t="s">
        <v>725</v>
      </c>
    </row>
    <row r="222" spans="1:3" hidden="1">
      <c r="A222" s="1" t="s">
        <v>718</v>
      </c>
      <c r="B222" s="1" t="s">
        <v>719</v>
      </c>
      <c r="C222" s="1" t="s">
        <v>717</v>
      </c>
    </row>
    <row r="223" spans="1:3" hidden="1">
      <c r="A223" s="1" t="s">
        <v>722</v>
      </c>
      <c r="B223" s="1" t="s">
        <v>723</v>
      </c>
      <c r="C223" s="1" t="s">
        <v>721</v>
      </c>
    </row>
    <row r="224" spans="1:3" hidden="1">
      <c r="A224" s="1" t="s">
        <v>1079</v>
      </c>
      <c r="B224" s="1" t="s">
        <v>1080</v>
      </c>
      <c r="C224" s="1" t="s">
        <v>1078</v>
      </c>
    </row>
    <row r="225" spans="1:3" hidden="1">
      <c r="A225" s="1" t="s">
        <v>1071</v>
      </c>
      <c r="B225" s="1" t="s">
        <v>1072</v>
      </c>
      <c r="C225" s="1" t="s">
        <v>1070</v>
      </c>
    </row>
    <row r="226" spans="1:3" hidden="1">
      <c r="A226" s="1" t="s">
        <v>1038</v>
      </c>
      <c r="B226" s="1" t="s">
        <v>1039</v>
      </c>
      <c r="C226" s="1" t="s">
        <v>1037</v>
      </c>
    </row>
    <row r="227" spans="1:3" hidden="1">
      <c r="A227" s="1" t="s">
        <v>1075</v>
      </c>
      <c r="B227" s="1" t="s">
        <v>1076</v>
      </c>
      <c r="C227" s="1" t="s">
        <v>1074</v>
      </c>
    </row>
    <row r="228" spans="1:3" hidden="1">
      <c r="A228" s="1" t="s">
        <v>1091</v>
      </c>
      <c r="B228" s="1" t="s">
        <v>1043</v>
      </c>
      <c r="C228" s="1" t="e">
        <v>#N/A</v>
      </c>
    </row>
    <row r="229" spans="1:3" hidden="1">
      <c r="A229" s="1" t="s">
        <v>1042</v>
      </c>
      <c r="B229" s="1" t="s">
        <v>1043</v>
      </c>
      <c r="C229" s="1" t="s">
        <v>1041</v>
      </c>
    </row>
    <row r="230" spans="1:3" hidden="1">
      <c r="A230" s="1" t="s">
        <v>1034</v>
      </c>
      <c r="B230" s="1" t="s">
        <v>1035</v>
      </c>
      <c r="C230" s="1" t="s">
        <v>1033</v>
      </c>
    </row>
    <row r="231" spans="1:3" hidden="1">
      <c r="A231" s="1" t="s">
        <v>1030</v>
      </c>
      <c r="B231" s="1" t="s">
        <v>1031</v>
      </c>
      <c r="C231" s="1" t="s">
        <v>1029</v>
      </c>
    </row>
    <row r="232" spans="1:3" hidden="1">
      <c r="A232" s="1" t="s">
        <v>1022</v>
      </c>
      <c r="B232" s="1" t="s">
        <v>1023</v>
      </c>
      <c r="C232" s="1" t="s">
        <v>1021</v>
      </c>
    </row>
    <row r="233" spans="1:3" hidden="1">
      <c r="A233" s="1" t="s">
        <v>1026</v>
      </c>
      <c r="B233" s="1" t="s">
        <v>1027</v>
      </c>
      <c r="C233" s="1" t="s">
        <v>1025</v>
      </c>
    </row>
    <row r="234" spans="1:3" hidden="1">
      <c r="A234" s="1" t="s">
        <v>462</v>
      </c>
      <c r="B234" s="1" t="s">
        <v>463</v>
      </c>
      <c r="C234" s="1" t="s">
        <v>461</v>
      </c>
    </row>
    <row r="235" spans="1:3" hidden="1">
      <c r="A235" s="1" t="s">
        <v>1050</v>
      </c>
      <c r="B235" s="1" t="s">
        <v>1051</v>
      </c>
      <c r="C235" s="1" t="s">
        <v>1049</v>
      </c>
    </row>
    <row r="236" spans="1:3" hidden="1">
      <c r="A236" s="1" t="s">
        <v>1058</v>
      </c>
      <c r="B236" s="1" t="s">
        <v>1059</v>
      </c>
      <c r="C236" s="1" t="s">
        <v>1057</v>
      </c>
    </row>
    <row r="237" spans="1:3" hidden="1">
      <c r="A237" s="1" t="s">
        <v>1054</v>
      </c>
      <c r="B237" s="1" t="s">
        <v>1055</v>
      </c>
      <c r="C237" s="1" t="s">
        <v>1053</v>
      </c>
    </row>
    <row r="238" spans="1:3" hidden="1">
      <c r="A238" s="1" t="s">
        <v>952</v>
      </c>
      <c r="B238" s="1" t="s">
        <v>937</v>
      </c>
      <c r="C238" s="1" t="s">
        <v>951</v>
      </c>
    </row>
    <row r="239" spans="1:3" hidden="1">
      <c r="A239" s="1" t="s">
        <v>936</v>
      </c>
      <c r="B239" s="1" t="s">
        <v>937</v>
      </c>
      <c r="C239" s="1" t="s">
        <v>935</v>
      </c>
    </row>
    <row r="240" spans="1:3" hidden="1">
      <c r="A240" s="1" t="s">
        <v>944</v>
      </c>
      <c r="B240" s="1" t="s">
        <v>945</v>
      </c>
      <c r="C240" s="1" t="s">
        <v>943</v>
      </c>
    </row>
    <row r="241" spans="1:3" hidden="1">
      <c r="A241" s="1" t="s">
        <v>955</v>
      </c>
      <c r="B241" s="1" t="s">
        <v>949</v>
      </c>
      <c r="C241" s="1" t="s">
        <v>954</v>
      </c>
    </row>
    <row r="242" spans="1:3" hidden="1">
      <c r="A242" s="1" t="s">
        <v>948</v>
      </c>
      <c r="B242" s="1" t="s">
        <v>949</v>
      </c>
      <c r="C242" s="1" t="s">
        <v>947</v>
      </c>
    </row>
    <row r="243" spans="1:3" hidden="1">
      <c r="A243" s="1" t="s">
        <v>958</v>
      </c>
      <c r="B243" s="1" t="s">
        <v>959</v>
      </c>
      <c r="C243" s="1" t="s">
        <v>957</v>
      </c>
    </row>
    <row r="244" spans="1:3" hidden="1">
      <c r="A244" s="1" t="s">
        <v>822</v>
      </c>
      <c r="B244" s="1" t="s">
        <v>823</v>
      </c>
      <c r="C244" s="1" t="s">
        <v>821</v>
      </c>
    </row>
    <row r="245" spans="1:3" hidden="1">
      <c r="A245" s="1" t="s">
        <v>1046</v>
      </c>
      <c r="B245" s="1" t="s">
        <v>1047</v>
      </c>
      <c r="C245" s="1" t="s">
        <v>1045</v>
      </c>
    </row>
    <row r="246" spans="1:3" hidden="1">
      <c r="A246" s="1" t="s">
        <v>761</v>
      </c>
      <c r="B246" s="1" t="s">
        <v>762</v>
      </c>
      <c r="C246" s="1" t="s">
        <v>760</v>
      </c>
    </row>
    <row r="247" spans="1:3" hidden="1">
      <c r="A247" s="1" t="s">
        <v>940</v>
      </c>
      <c r="B247" s="1" t="s">
        <v>941</v>
      </c>
      <c r="C247" s="1" t="s">
        <v>939</v>
      </c>
    </row>
    <row r="248" spans="1:3" hidden="1">
      <c r="A248" s="1" t="s">
        <v>962</v>
      </c>
      <c r="B248" s="1" t="s">
        <v>963</v>
      </c>
      <c r="C248" s="1" t="s">
        <v>961</v>
      </c>
    </row>
    <row r="249" spans="1:3" hidden="1">
      <c r="A249" s="1" t="s">
        <v>932</v>
      </c>
      <c r="B249" s="1" t="s">
        <v>933</v>
      </c>
      <c r="C249" s="1" t="s">
        <v>931</v>
      </c>
    </row>
    <row r="250" spans="1:3" hidden="1">
      <c r="A250" s="1" t="s">
        <v>765</v>
      </c>
      <c r="B250" s="1" t="s">
        <v>766</v>
      </c>
      <c r="C250" s="1" t="s">
        <v>764</v>
      </c>
    </row>
    <row r="251" spans="1:3" hidden="1">
      <c r="A251" s="1" t="s">
        <v>757</v>
      </c>
      <c r="B251" s="1" t="s">
        <v>758</v>
      </c>
      <c r="C251" s="1" t="s">
        <v>756</v>
      </c>
    </row>
    <row r="252" spans="1:3" hidden="1">
      <c r="A252" s="1" t="s">
        <v>781</v>
      </c>
      <c r="B252" s="1" t="s">
        <v>782</v>
      </c>
      <c r="C252" s="1" t="s">
        <v>780</v>
      </c>
    </row>
    <row r="253" spans="1:3" hidden="1">
      <c r="A253" s="1" t="s">
        <v>773</v>
      </c>
      <c r="B253" s="1" t="s">
        <v>774</v>
      </c>
      <c r="C253" s="1" t="s">
        <v>772</v>
      </c>
    </row>
    <row r="254" spans="1:3" hidden="1">
      <c r="A254" s="1" t="s">
        <v>777</v>
      </c>
      <c r="B254" s="1" t="s">
        <v>778</v>
      </c>
      <c r="C254" s="1" t="s">
        <v>776</v>
      </c>
    </row>
    <row r="255" spans="1:3" hidden="1">
      <c r="A255" s="1" t="s">
        <v>698</v>
      </c>
      <c r="B255" s="1" t="s">
        <v>699</v>
      </c>
      <c r="C255" s="1" t="s">
        <v>697</v>
      </c>
    </row>
    <row r="256" spans="1:3" hidden="1">
      <c r="A256" s="1" t="s">
        <v>538</v>
      </c>
      <c r="B256" s="1" t="s">
        <v>539</v>
      </c>
      <c r="C256" s="1" t="s">
        <v>537</v>
      </c>
    </row>
    <row r="257" spans="1:3" hidden="1">
      <c r="A257" s="1" t="s">
        <v>542</v>
      </c>
      <c r="B257" s="1" t="s">
        <v>543</v>
      </c>
      <c r="C257" s="1" t="s">
        <v>541</v>
      </c>
    </row>
    <row r="258" spans="1:3" hidden="1">
      <c r="A258" s="1" t="s">
        <v>534</v>
      </c>
      <c r="B258" s="1" t="s">
        <v>535</v>
      </c>
      <c r="C258" s="1" t="s">
        <v>533</v>
      </c>
    </row>
    <row r="259" spans="1:3" hidden="1">
      <c r="A259" s="1" t="s">
        <v>530</v>
      </c>
      <c r="B259" s="1" t="s">
        <v>531</v>
      </c>
      <c r="C259" s="1" t="s">
        <v>529</v>
      </c>
    </row>
    <row r="260" spans="1:3" hidden="1">
      <c r="A260" s="1" t="s">
        <v>550</v>
      </c>
      <c r="B260" s="1" t="s">
        <v>551</v>
      </c>
      <c r="C260" s="1" t="s">
        <v>549</v>
      </c>
    </row>
    <row r="261" spans="1:3" hidden="1">
      <c r="A261" s="1" t="s">
        <v>546</v>
      </c>
      <c r="B261" s="1" t="s">
        <v>547</v>
      </c>
      <c r="C261" s="1" t="s">
        <v>545</v>
      </c>
    </row>
    <row r="262" spans="1:3" hidden="1">
      <c r="A262" s="1" t="s">
        <v>1092</v>
      </c>
      <c r="B262" s="1" t="s">
        <v>1093</v>
      </c>
      <c r="C262" s="1" t="s">
        <v>1094</v>
      </c>
    </row>
    <row r="267" spans="1:3">
      <c r="A267" s="2" t="s">
        <v>21</v>
      </c>
      <c r="B267" s="2"/>
      <c r="C267" s="2" t="s">
        <v>19</v>
      </c>
    </row>
    <row r="268" spans="1:3">
      <c r="A268" s="2" t="s">
        <v>26</v>
      </c>
      <c r="B268" s="2"/>
      <c r="C268" s="2" t="s">
        <v>25</v>
      </c>
    </row>
    <row r="269" spans="1:3">
      <c r="A269" s="2" t="s">
        <v>31</v>
      </c>
      <c r="B269" s="2"/>
      <c r="C269" s="2" t="s">
        <v>29</v>
      </c>
    </row>
    <row r="270" spans="1:3">
      <c r="A270" s="2" t="s">
        <v>35</v>
      </c>
      <c r="B270" s="2"/>
      <c r="C270" s="2" t="s">
        <v>34</v>
      </c>
    </row>
    <row r="271" spans="1:3">
      <c r="A271" s="2" t="s">
        <v>93</v>
      </c>
      <c r="B271" s="2"/>
      <c r="C271" s="2" t="s">
        <v>91</v>
      </c>
    </row>
    <row r="272" spans="1:3">
      <c r="A272" s="2" t="s">
        <v>39</v>
      </c>
      <c r="B272" s="2"/>
      <c r="C272" s="2" t="s">
        <v>38</v>
      </c>
    </row>
    <row r="273" spans="1:3">
      <c r="A273" s="2" t="s">
        <v>43</v>
      </c>
      <c r="B273" s="2"/>
      <c r="C273" s="2" t="s">
        <v>42</v>
      </c>
    </row>
    <row r="274" spans="1:3">
      <c r="A274" s="2" t="s">
        <v>98</v>
      </c>
      <c r="B274" s="2"/>
      <c r="C274" s="2" t="s">
        <v>97</v>
      </c>
    </row>
    <row r="275" spans="1:3">
      <c r="A275" s="2" t="s">
        <v>47</v>
      </c>
      <c r="B275" s="2"/>
      <c r="C275" s="2" t="s">
        <v>46</v>
      </c>
    </row>
    <row r="276" spans="1:3">
      <c r="A276" s="2" t="s">
        <v>51</v>
      </c>
      <c r="B276" s="2"/>
      <c r="C276" s="2" t="s">
        <v>50</v>
      </c>
    </row>
    <row r="277" spans="1:3">
      <c r="A277" s="2" t="s">
        <v>102</v>
      </c>
      <c r="B277" s="2"/>
      <c r="C277" s="2" t="s">
        <v>101</v>
      </c>
    </row>
    <row r="278" spans="1:3">
      <c r="A278" s="2" t="s">
        <v>55</v>
      </c>
      <c r="B278" s="2"/>
      <c r="C278" s="2" t="s">
        <v>54</v>
      </c>
    </row>
    <row r="279" spans="1:3">
      <c r="A279" s="2" t="s">
        <v>60</v>
      </c>
      <c r="B279" s="2"/>
      <c r="C279" s="2" t="s">
        <v>58</v>
      </c>
    </row>
    <row r="280" spans="1:3">
      <c r="A280" s="2" t="s">
        <v>106</v>
      </c>
      <c r="B280" s="2"/>
      <c r="C280" s="2" t="s">
        <v>105</v>
      </c>
    </row>
    <row r="281" spans="1:3">
      <c r="A281" s="2" t="s">
        <v>64</v>
      </c>
      <c r="B281" s="2"/>
      <c r="C281" s="2" t="s">
        <v>63</v>
      </c>
    </row>
    <row r="282" spans="1:3">
      <c r="A282" s="2" t="s">
        <v>68</v>
      </c>
      <c r="B282" s="2"/>
      <c r="C282" s="2" t="s">
        <v>67</v>
      </c>
    </row>
    <row r="283" spans="1:3">
      <c r="A283" s="2" t="s">
        <v>110</v>
      </c>
      <c r="B283" s="2"/>
      <c r="C283" s="2" t="s">
        <v>109</v>
      </c>
    </row>
    <row r="284" spans="1:3">
      <c r="A284" s="2" t="s">
        <v>72</v>
      </c>
      <c r="B284" s="2"/>
      <c r="C284" s="2" t="s">
        <v>71</v>
      </c>
    </row>
    <row r="285" spans="1:3">
      <c r="A285" s="2" t="s">
        <v>114</v>
      </c>
      <c r="B285" s="2"/>
      <c r="C285" s="2" t="s">
        <v>113</v>
      </c>
    </row>
    <row r="286" spans="1:3">
      <c r="A286" s="2" t="s">
        <v>76</v>
      </c>
      <c r="B286" s="2"/>
      <c r="C286" s="2" t="s">
        <v>75</v>
      </c>
    </row>
    <row r="287" spans="1:3">
      <c r="A287" s="2" t="s">
        <v>118</v>
      </c>
      <c r="B287" s="2"/>
      <c r="C287" s="2" t="s">
        <v>117</v>
      </c>
    </row>
    <row r="288" spans="1:3">
      <c r="A288" s="2" t="s">
        <v>122</v>
      </c>
      <c r="B288" s="2"/>
      <c r="C288" s="2" t="s">
        <v>121</v>
      </c>
    </row>
    <row r="289" spans="1:3">
      <c r="A289" s="2" t="s">
        <v>126</v>
      </c>
      <c r="B289" s="2"/>
      <c r="C289" s="2" t="s">
        <v>125</v>
      </c>
    </row>
    <row r="290" spans="1:3">
      <c r="A290" s="2" t="s">
        <v>130</v>
      </c>
      <c r="B290" s="2"/>
      <c r="C290" s="2" t="s">
        <v>129</v>
      </c>
    </row>
    <row r="291" spans="1:3">
      <c r="A291" s="2" t="s">
        <v>134</v>
      </c>
      <c r="B291" s="2"/>
      <c r="C291" s="2" t="s">
        <v>133</v>
      </c>
    </row>
    <row r="292" spans="1:3">
      <c r="A292" s="2" t="s">
        <v>138</v>
      </c>
      <c r="B292" s="2"/>
      <c r="C292" s="2" t="s">
        <v>137</v>
      </c>
    </row>
    <row r="293" spans="1:3">
      <c r="A293" s="2" t="s">
        <v>142</v>
      </c>
      <c r="B293" s="2"/>
      <c r="C293" s="2" t="s">
        <v>141</v>
      </c>
    </row>
    <row r="294" spans="1:3">
      <c r="A294" s="2" t="s">
        <v>146</v>
      </c>
      <c r="B294" s="2"/>
      <c r="C294" s="2" t="s">
        <v>145</v>
      </c>
    </row>
    <row r="295" spans="1:3">
      <c r="A295" s="2" t="s">
        <v>189</v>
      </c>
      <c r="B295" s="2"/>
      <c r="C295" s="2" t="s">
        <v>188</v>
      </c>
    </row>
    <row r="296" spans="1:3">
      <c r="A296" s="2" t="s">
        <v>126</v>
      </c>
      <c r="B296" s="2"/>
      <c r="C296" s="2" t="s">
        <v>149</v>
      </c>
    </row>
    <row r="297" spans="1:3">
      <c r="A297" s="2" t="s">
        <v>152</v>
      </c>
      <c r="B297" s="2"/>
      <c r="C297" s="2" t="s">
        <v>151</v>
      </c>
    </row>
    <row r="298" spans="1:3">
      <c r="A298" s="2" t="s">
        <v>156</v>
      </c>
      <c r="B298" s="2"/>
      <c r="C298" s="2" t="s">
        <v>155</v>
      </c>
    </row>
    <row r="299" spans="1:3">
      <c r="A299" s="2" t="s">
        <v>160</v>
      </c>
      <c r="B299" s="2"/>
      <c r="C299" s="2" t="s">
        <v>159</v>
      </c>
    </row>
    <row r="300" spans="1:3">
      <c r="A300" s="2" t="s">
        <v>165</v>
      </c>
      <c r="B300" s="2"/>
      <c r="C300" s="2" t="s">
        <v>163</v>
      </c>
    </row>
    <row r="301" spans="1:3">
      <c r="A301" s="2" t="s">
        <v>194</v>
      </c>
      <c r="B301" s="2"/>
      <c r="C301" s="2" t="s">
        <v>193</v>
      </c>
    </row>
    <row r="302" spans="1:3">
      <c r="A302" s="2" t="s">
        <v>198</v>
      </c>
      <c r="B302" s="2"/>
      <c r="C302" s="2" t="s">
        <v>197</v>
      </c>
    </row>
    <row r="303" spans="1:3">
      <c r="A303" s="2" t="s">
        <v>202</v>
      </c>
      <c r="B303" s="2"/>
      <c r="C303" s="2" t="s">
        <v>201</v>
      </c>
    </row>
    <row r="304" spans="1:3">
      <c r="A304" s="2" t="s">
        <v>169</v>
      </c>
      <c r="B304" s="2"/>
      <c r="C304" s="2" t="s">
        <v>168</v>
      </c>
    </row>
    <row r="305" spans="1:3">
      <c r="A305" s="2" t="s">
        <v>206</v>
      </c>
      <c r="B305" s="2"/>
      <c r="C305" s="2" t="s">
        <v>205</v>
      </c>
    </row>
    <row r="306" spans="1:3">
      <c r="A306" s="2" t="s">
        <v>210</v>
      </c>
      <c r="B306" s="2"/>
      <c r="C306" s="2" t="s">
        <v>209</v>
      </c>
    </row>
    <row r="307" spans="1:3">
      <c r="A307" s="2" t="s">
        <v>214</v>
      </c>
      <c r="B307" s="2"/>
      <c r="C307" s="2" t="s">
        <v>213</v>
      </c>
    </row>
    <row r="308" spans="1:3">
      <c r="A308" s="2" t="s">
        <v>218</v>
      </c>
      <c r="B308" s="2"/>
      <c r="C308" s="2" t="s">
        <v>217</v>
      </c>
    </row>
    <row r="309" spans="1:3">
      <c r="A309" s="2" t="s">
        <v>336</v>
      </c>
      <c r="B309" s="2"/>
      <c r="C309" s="2" t="s">
        <v>335</v>
      </c>
    </row>
    <row r="310" spans="1:3">
      <c r="A310" s="2" t="s">
        <v>222</v>
      </c>
      <c r="B310" s="2"/>
      <c r="C310" s="2" t="s">
        <v>221</v>
      </c>
    </row>
    <row r="311" spans="1:3">
      <c r="A311" s="2" t="s">
        <v>80</v>
      </c>
      <c r="B311" s="2"/>
      <c r="C311" s="2" t="s">
        <v>79</v>
      </c>
    </row>
    <row r="312" spans="1:3">
      <c r="A312" s="2" t="s">
        <v>173</v>
      </c>
      <c r="B312" s="2"/>
      <c r="C312" s="2" t="s">
        <v>172</v>
      </c>
    </row>
    <row r="313" spans="1:3">
      <c r="A313" s="2" t="s">
        <v>226</v>
      </c>
      <c r="B313" s="2"/>
      <c r="C313" s="2" t="s">
        <v>225</v>
      </c>
    </row>
    <row r="314" spans="1:3">
      <c r="A314" s="2" t="s">
        <v>230</v>
      </c>
      <c r="B314" s="2"/>
      <c r="C314" s="2" t="s">
        <v>229</v>
      </c>
    </row>
    <row r="315" spans="1:3">
      <c r="A315" s="2" t="s">
        <v>233</v>
      </c>
      <c r="B315" s="2"/>
      <c r="C315" s="2" t="s">
        <v>232</v>
      </c>
    </row>
    <row r="316" spans="1:3">
      <c r="A316" s="2" t="s">
        <v>237</v>
      </c>
      <c r="B316" s="2"/>
      <c r="C316" s="2" t="s">
        <v>236</v>
      </c>
    </row>
    <row r="317" spans="1:3">
      <c r="A317" s="2" t="s">
        <v>241</v>
      </c>
      <c r="B317" s="2"/>
      <c r="C317" s="2" t="s">
        <v>240</v>
      </c>
    </row>
    <row r="318" spans="1:3">
      <c r="A318" s="2" t="s">
        <v>340</v>
      </c>
      <c r="B318" s="2"/>
      <c r="C318" s="2" t="s">
        <v>339</v>
      </c>
    </row>
    <row r="319" spans="1:3">
      <c r="A319" s="2" t="s">
        <v>245</v>
      </c>
      <c r="B319" s="2"/>
      <c r="C319" s="2" t="s">
        <v>244</v>
      </c>
    </row>
    <row r="320" spans="1:3">
      <c r="A320" s="2" t="s">
        <v>177</v>
      </c>
      <c r="B320" s="2"/>
      <c r="C320" s="2" t="s">
        <v>176</v>
      </c>
    </row>
    <row r="321" spans="1:3">
      <c r="A321" s="2" t="s">
        <v>249</v>
      </c>
      <c r="B321" s="2"/>
      <c r="C321" s="2" t="s">
        <v>248</v>
      </c>
    </row>
    <row r="322" spans="1:3">
      <c r="A322" s="2" t="s">
        <v>344</v>
      </c>
      <c r="B322" s="2"/>
      <c r="C322" s="2" t="s">
        <v>343</v>
      </c>
    </row>
    <row r="323" spans="1:3">
      <c r="A323" s="2" t="s">
        <v>253</v>
      </c>
      <c r="B323" s="2"/>
      <c r="C323" s="2" t="s">
        <v>252</v>
      </c>
    </row>
    <row r="324" spans="1:3">
      <c r="A324" s="2" t="s">
        <v>257</v>
      </c>
      <c r="B324" s="2"/>
      <c r="C324" s="2" t="s">
        <v>256</v>
      </c>
    </row>
    <row r="325" spans="1:3">
      <c r="A325" s="2" t="s">
        <v>348</v>
      </c>
      <c r="B325" s="2"/>
      <c r="C325" s="2" t="s">
        <v>347</v>
      </c>
    </row>
    <row r="326" spans="1:3">
      <c r="A326" s="2" t="s">
        <v>84</v>
      </c>
      <c r="B326" s="2"/>
      <c r="C326" s="2" t="s">
        <v>83</v>
      </c>
    </row>
    <row r="327" spans="1:3">
      <c r="A327" s="2" t="s">
        <v>181</v>
      </c>
      <c r="B327" s="2"/>
      <c r="C327" s="2" t="s">
        <v>180</v>
      </c>
    </row>
    <row r="328" spans="1:3">
      <c r="A328" s="2" t="s">
        <v>261</v>
      </c>
      <c r="B328" s="2"/>
      <c r="C328" s="2" t="s">
        <v>260</v>
      </c>
    </row>
    <row r="329" spans="1:3">
      <c r="A329" s="2" t="s">
        <v>265</v>
      </c>
      <c r="B329" s="2"/>
      <c r="C329" s="2" t="s">
        <v>264</v>
      </c>
    </row>
    <row r="330" spans="1:3">
      <c r="A330" s="2" t="s">
        <v>269</v>
      </c>
      <c r="B330" s="2"/>
      <c r="C330" s="2" t="s">
        <v>268</v>
      </c>
    </row>
    <row r="331" spans="1:3">
      <c r="A331" s="2" t="s">
        <v>352</v>
      </c>
      <c r="B331" s="2"/>
      <c r="C331" s="2" t="s">
        <v>351</v>
      </c>
    </row>
    <row r="332" spans="1:3">
      <c r="A332" s="2" t="s">
        <v>273</v>
      </c>
      <c r="B332" s="2"/>
      <c r="C332" s="2" t="s">
        <v>272</v>
      </c>
    </row>
    <row r="333" spans="1:3">
      <c r="A333" s="2" t="s">
        <v>566</v>
      </c>
      <c r="B333" s="2"/>
      <c r="C333" s="2" t="s">
        <v>565</v>
      </c>
    </row>
    <row r="334" spans="1:3">
      <c r="A334" s="2" t="s">
        <v>570</v>
      </c>
      <c r="B334" s="2"/>
      <c r="C334" s="2" t="s">
        <v>569</v>
      </c>
    </row>
    <row r="335" spans="1:3">
      <c r="A335" s="2" t="s">
        <v>277</v>
      </c>
      <c r="B335" s="2"/>
      <c r="C335" s="2" t="s">
        <v>276</v>
      </c>
    </row>
    <row r="336" spans="1:3">
      <c r="A336" s="2" t="s">
        <v>356</v>
      </c>
      <c r="B336" s="2"/>
      <c r="C336" s="2" t="s">
        <v>355</v>
      </c>
    </row>
    <row r="337" spans="1:3">
      <c r="A337" s="2" t="s">
        <v>281</v>
      </c>
      <c r="B337" s="2"/>
      <c r="C337" s="2" t="s">
        <v>280</v>
      </c>
    </row>
    <row r="338" spans="1:3">
      <c r="A338" s="2" t="s">
        <v>360</v>
      </c>
      <c r="B338" s="2"/>
      <c r="C338" s="2" t="s">
        <v>359</v>
      </c>
    </row>
    <row r="339" spans="1:3">
      <c r="A339" s="2" t="s">
        <v>285</v>
      </c>
      <c r="B339" s="2"/>
      <c r="C339" s="2" t="s">
        <v>284</v>
      </c>
    </row>
    <row r="340" spans="1:3">
      <c r="A340" s="2" t="s">
        <v>289</v>
      </c>
      <c r="B340" s="2"/>
      <c r="C340" s="2" t="s">
        <v>288</v>
      </c>
    </row>
    <row r="341" spans="1:3">
      <c r="A341" s="2" t="s">
        <v>293</v>
      </c>
      <c r="B341" s="2"/>
      <c r="C341" s="2" t="s">
        <v>292</v>
      </c>
    </row>
    <row r="342" spans="1:3">
      <c r="A342" s="2" t="s">
        <v>297</v>
      </c>
      <c r="B342" s="2"/>
      <c r="C342" s="2" t="s">
        <v>296</v>
      </c>
    </row>
    <row r="343" spans="1:3">
      <c r="A343" s="2" t="s">
        <v>301</v>
      </c>
      <c r="B343" s="2"/>
      <c r="C343" s="2" t="s">
        <v>300</v>
      </c>
    </row>
    <row r="344" spans="1:3">
      <c r="A344" s="2" t="s">
        <v>364</v>
      </c>
      <c r="B344" s="2"/>
      <c r="C344" s="2" t="s">
        <v>363</v>
      </c>
    </row>
    <row r="345" spans="1:3">
      <c r="A345" s="2" t="s">
        <v>574</v>
      </c>
      <c r="B345" s="2"/>
      <c r="C345" s="2" t="s">
        <v>573</v>
      </c>
    </row>
    <row r="346" spans="1:3">
      <c r="A346" s="2" t="s">
        <v>304</v>
      </c>
      <c r="B346" s="2"/>
      <c r="C346" s="2" t="s">
        <v>303</v>
      </c>
    </row>
    <row r="347" spans="1:3">
      <c r="A347" s="2" t="s">
        <v>369</v>
      </c>
      <c r="B347" s="2"/>
      <c r="C347" s="2" t="s">
        <v>367</v>
      </c>
    </row>
    <row r="348" spans="1:3">
      <c r="A348" s="2" t="s">
        <v>373</v>
      </c>
      <c r="B348" s="2"/>
      <c r="C348" s="2" t="s">
        <v>372</v>
      </c>
    </row>
    <row r="349" spans="1:3">
      <c r="A349" s="2" t="s">
        <v>185</v>
      </c>
      <c r="B349" s="2"/>
      <c r="C349" s="2" t="s">
        <v>184</v>
      </c>
    </row>
    <row r="350" spans="1:3">
      <c r="A350" s="2" t="s">
        <v>308</v>
      </c>
      <c r="B350" s="2"/>
      <c r="C350" s="2" t="s">
        <v>307</v>
      </c>
    </row>
    <row r="351" spans="1:3">
      <c r="A351" s="2" t="s">
        <v>377</v>
      </c>
      <c r="B351" s="2"/>
      <c r="C351" s="2" t="s">
        <v>376</v>
      </c>
    </row>
    <row r="352" spans="1:3">
      <c r="A352" s="2" t="s">
        <v>312</v>
      </c>
      <c r="B352" s="2"/>
      <c r="C352" s="2" t="s">
        <v>311</v>
      </c>
    </row>
    <row r="353" spans="1:3">
      <c r="A353" s="2" t="s">
        <v>380</v>
      </c>
      <c r="B353" s="2"/>
      <c r="C353" s="2" t="s">
        <v>379</v>
      </c>
    </row>
    <row r="354" spans="1:3">
      <c r="A354" s="2" t="s">
        <v>578</v>
      </c>
      <c r="B354" s="2"/>
      <c r="C354" s="2" t="s">
        <v>577</v>
      </c>
    </row>
    <row r="355" spans="1:3">
      <c r="A355" s="2" t="s">
        <v>316</v>
      </c>
      <c r="B355" s="2"/>
      <c r="C355" s="2" t="s">
        <v>315</v>
      </c>
    </row>
    <row r="356" spans="1:3">
      <c r="A356" s="2" t="s">
        <v>384</v>
      </c>
      <c r="B356" s="2"/>
      <c r="C356" s="2" t="s">
        <v>383</v>
      </c>
    </row>
    <row r="357" spans="1:3">
      <c r="A357" s="2" t="s">
        <v>388</v>
      </c>
      <c r="B357" s="2"/>
      <c r="C357" s="2" t="s">
        <v>387</v>
      </c>
    </row>
    <row r="358" spans="1:3">
      <c r="A358" s="2" t="s">
        <v>320</v>
      </c>
      <c r="B358" s="2"/>
      <c r="C358" s="2" t="s">
        <v>319</v>
      </c>
    </row>
    <row r="359" spans="1:3">
      <c r="A359" s="2" t="s">
        <v>392</v>
      </c>
      <c r="B359" s="2"/>
      <c r="C359" s="2" t="s">
        <v>391</v>
      </c>
    </row>
    <row r="360" spans="1:3">
      <c r="A360" s="2" t="s">
        <v>582</v>
      </c>
      <c r="B360" s="2"/>
      <c r="C360" s="2" t="s">
        <v>581</v>
      </c>
    </row>
    <row r="361" spans="1:3">
      <c r="A361" s="2" t="s">
        <v>324</v>
      </c>
      <c r="B361" s="2"/>
      <c r="C361" s="2" t="s">
        <v>323</v>
      </c>
    </row>
    <row r="362" spans="1:3">
      <c r="A362" s="2" t="s">
        <v>396</v>
      </c>
      <c r="B362" s="2"/>
      <c r="C362" s="2" t="s">
        <v>395</v>
      </c>
    </row>
    <row r="363" spans="1:3">
      <c r="A363" s="2" t="s">
        <v>400</v>
      </c>
      <c r="B363" s="2"/>
      <c r="C363" s="2" t="s">
        <v>399</v>
      </c>
    </row>
    <row r="364" spans="1:3">
      <c r="A364" s="2" t="s">
        <v>404</v>
      </c>
      <c r="B364" s="2"/>
      <c r="C364" s="2" t="s">
        <v>403</v>
      </c>
    </row>
    <row r="365" spans="1:3">
      <c r="A365" s="2" t="s">
        <v>586</v>
      </c>
      <c r="B365" s="2"/>
      <c r="C365" s="2" t="s">
        <v>585</v>
      </c>
    </row>
    <row r="366" spans="1:3">
      <c r="A366" s="2" t="s">
        <v>407</v>
      </c>
      <c r="B366" s="2"/>
      <c r="C366" s="2" t="s">
        <v>406</v>
      </c>
    </row>
    <row r="367" spans="1:3">
      <c r="A367" s="2" t="s">
        <v>590</v>
      </c>
      <c r="B367" s="2"/>
      <c r="C367" s="2" t="s">
        <v>589</v>
      </c>
    </row>
    <row r="368" spans="1:3">
      <c r="A368" s="2" t="s">
        <v>411</v>
      </c>
      <c r="B368" s="2"/>
      <c r="C368" s="2" t="s">
        <v>410</v>
      </c>
    </row>
    <row r="369" spans="1:3">
      <c r="A369" s="2" t="s">
        <v>594</v>
      </c>
      <c r="B369" s="2"/>
      <c r="C369" s="2" t="s">
        <v>593</v>
      </c>
    </row>
    <row r="370" spans="1:3">
      <c r="A370" s="2" t="s">
        <v>598</v>
      </c>
      <c r="B370" s="2"/>
      <c r="C370" s="2" t="s">
        <v>597</v>
      </c>
    </row>
    <row r="371" spans="1:3">
      <c r="A371" s="2" t="s">
        <v>602</v>
      </c>
      <c r="B371" s="2"/>
      <c r="C371" s="2" t="s">
        <v>601</v>
      </c>
    </row>
    <row r="372" spans="1:3">
      <c r="A372" s="2" t="s">
        <v>328</v>
      </c>
      <c r="B372" s="2"/>
      <c r="C372" s="2" t="s">
        <v>327</v>
      </c>
    </row>
    <row r="373" spans="1:3">
      <c r="A373" s="2" t="s">
        <v>415</v>
      </c>
      <c r="B373" s="2"/>
      <c r="C373" s="2" t="s">
        <v>414</v>
      </c>
    </row>
    <row r="374" spans="1:3">
      <c r="A374" s="2" t="s">
        <v>419</v>
      </c>
      <c r="B374" s="2"/>
      <c r="C374" s="2" t="s">
        <v>418</v>
      </c>
    </row>
    <row r="375" spans="1:3">
      <c r="A375" s="2" t="s">
        <v>606</v>
      </c>
      <c r="B375" s="2"/>
      <c r="C375" s="2" t="s">
        <v>605</v>
      </c>
    </row>
    <row r="376" spans="1:3">
      <c r="A376" s="2" t="s">
        <v>423</v>
      </c>
      <c r="B376" s="2"/>
      <c r="C376" s="2" t="s">
        <v>422</v>
      </c>
    </row>
    <row r="377" spans="1:3">
      <c r="A377" s="2" t="s">
        <v>427</v>
      </c>
      <c r="B377" s="2"/>
      <c r="C377" s="2" t="s">
        <v>426</v>
      </c>
    </row>
    <row r="378" spans="1:3">
      <c r="A378" s="2" t="s">
        <v>431</v>
      </c>
      <c r="B378" s="2"/>
      <c r="C378" s="2" t="s">
        <v>430</v>
      </c>
    </row>
    <row r="379" spans="1:3">
      <c r="A379" s="2" t="s">
        <v>434</v>
      </c>
      <c r="B379" s="2"/>
      <c r="C379" s="2" t="s">
        <v>433</v>
      </c>
    </row>
    <row r="380" spans="1:3">
      <c r="A380" s="2" t="s">
        <v>438</v>
      </c>
      <c r="B380" s="2"/>
      <c r="C380" s="2" t="s">
        <v>437</v>
      </c>
    </row>
    <row r="381" spans="1:3">
      <c r="A381" s="2" t="s">
        <v>610</v>
      </c>
      <c r="B381" s="2"/>
      <c r="C381" s="2" t="s">
        <v>609</v>
      </c>
    </row>
    <row r="382" spans="1:3">
      <c r="A382" s="2" t="s">
        <v>805</v>
      </c>
      <c r="B382" s="2"/>
      <c r="C382" s="2" t="s">
        <v>804</v>
      </c>
    </row>
    <row r="383" spans="1:3">
      <c r="A383" s="2" t="s">
        <v>442</v>
      </c>
      <c r="B383" s="2"/>
      <c r="C383" s="2" t="s">
        <v>441</v>
      </c>
    </row>
    <row r="384" spans="1:3">
      <c r="A384" s="2" t="s">
        <v>614</v>
      </c>
      <c r="B384" s="2"/>
      <c r="C384" s="2" t="s">
        <v>613</v>
      </c>
    </row>
    <row r="385" spans="1:3">
      <c r="A385" s="2" t="s">
        <v>446</v>
      </c>
      <c r="B385" s="2"/>
      <c r="C385" s="2" t="s">
        <v>445</v>
      </c>
    </row>
    <row r="386" spans="1:3">
      <c r="A386" s="2" t="s">
        <v>450</v>
      </c>
      <c r="B386" s="2"/>
      <c r="C386" s="2" t="s">
        <v>449</v>
      </c>
    </row>
    <row r="387" spans="1:3">
      <c r="A387" s="2" t="s">
        <v>618</v>
      </c>
      <c r="B387" s="2"/>
      <c r="C387" s="2" t="s">
        <v>617</v>
      </c>
    </row>
    <row r="388" spans="1:3">
      <c r="A388" s="2" t="s">
        <v>810</v>
      </c>
      <c r="B388" s="2"/>
      <c r="C388" s="2" t="s">
        <v>809</v>
      </c>
    </row>
    <row r="389" spans="1:3">
      <c r="A389" s="2" t="s">
        <v>454</v>
      </c>
      <c r="B389" s="2"/>
      <c r="C389" s="2" t="s">
        <v>453</v>
      </c>
    </row>
    <row r="390" spans="1:3">
      <c r="A390" s="2" t="s">
        <v>622</v>
      </c>
      <c r="B390" s="2"/>
      <c r="C390" s="2" t="s">
        <v>621</v>
      </c>
    </row>
    <row r="391" spans="1:3">
      <c r="A391" s="2" t="s">
        <v>626</v>
      </c>
      <c r="B391" s="2"/>
      <c r="C391" s="2" t="s">
        <v>625</v>
      </c>
    </row>
    <row r="392" spans="1:3">
      <c r="A392" s="2" t="s">
        <v>814</v>
      </c>
      <c r="B392" s="2"/>
      <c r="C392" s="2" t="s">
        <v>813</v>
      </c>
    </row>
    <row r="393" spans="1:3">
      <c r="A393" s="2" t="s">
        <v>458</v>
      </c>
      <c r="B393" s="2"/>
      <c r="C393" s="2" t="s">
        <v>457</v>
      </c>
    </row>
    <row r="394" spans="1:3">
      <c r="A394" s="2" t="s">
        <v>630</v>
      </c>
      <c r="B394" s="2"/>
      <c r="C394" s="2" t="s">
        <v>629</v>
      </c>
    </row>
    <row r="395" spans="1:3">
      <c r="A395" s="2" t="s">
        <v>634</v>
      </c>
      <c r="B395" s="2"/>
      <c r="C395" s="2" t="s">
        <v>633</v>
      </c>
    </row>
    <row r="396" spans="1:3">
      <c r="A396" s="2" t="s">
        <v>818</v>
      </c>
      <c r="B396" s="2"/>
      <c r="C396" s="2" t="s">
        <v>817</v>
      </c>
    </row>
    <row r="397" spans="1:3">
      <c r="A397" s="2" t="s">
        <v>462</v>
      </c>
      <c r="B397" s="2"/>
      <c r="C397" s="2" t="s">
        <v>461</v>
      </c>
    </row>
    <row r="398" spans="1:3">
      <c r="A398" s="2" t="s">
        <v>638</v>
      </c>
      <c r="B398" s="2"/>
      <c r="C398" s="2" t="s">
        <v>637</v>
      </c>
    </row>
    <row r="399" spans="1:3">
      <c r="A399" s="2" t="s">
        <v>642</v>
      </c>
      <c r="B399" s="2"/>
      <c r="C399" s="2" t="s">
        <v>641</v>
      </c>
    </row>
    <row r="400" spans="1:3">
      <c r="A400" s="2" t="s">
        <v>646</v>
      </c>
      <c r="B400" s="2"/>
      <c r="C400" s="2" t="s">
        <v>645</v>
      </c>
    </row>
    <row r="401" spans="1:3">
      <c r="A401" s="2" t="s">
        <v>466</v>
      </c>
      <c r="B401" s="2"/>
      <c r="C401" s="2" t="s">
        <v>465</v>
      </c>
    </row>
    <row r="402" spans="1:3">
      <c r="A402" s="2" t="s">
        <v>650</v>
      </c>
      <c r="B402" s="2"/>
      <c r="C402" s="2" t="s">
        <v>649</v>
      </c>
    </row>
    <row r="403" spans="1:3">
      <c r="A403" s="2" t="s">
        <v>822</v>
      </c>
      <c r="B403" s="2"/>
      <c r="C403" s="2" t="s">
        <v>821</v>
      </c>
    </row>
    <row r="404" spans="1:3">
      <c r="A404" s="2" t="s">
        <v>470</v>
      </c>
      <c r="B404" s="2"/>
      <c r="C404" s="2" t="s">
        <v>469</v>
      </c>
    </row>
    <row r="405" spans="1:3">
      <c r="A405" s="2" t="s">
        <v>654</v>
      </c>
      <c r="B405" s="2"/>
      <c r="C405" s="2" t="s">
        <v>653</v>
      </c>
    </row>
    <row r="406" spans="1:3">
      <c r="A406" s="2" t="s">
        <v>658</v>
      </c>
      <c r="B406" s="2"/>
      <c r="C406" s="2" t="s">
        <v>657</v>
      </c>
    </row>
    <row r="407" spans="1:3">
      <c r="A407" s="2" t="s">
        <v>474</v>
      </c>
      <c r="B407" s="2"/>
      <c r="C407" s="2" t="s">
        <v>473</v>
      </c>
    </row>
    <row r="408" spans="1:3">
      <c r="A408" s="2" t="s">
        <v>662</v>
      </c>
      <c r="B408" s="2"/>
      <c r="C408" s="2" t="s">
        <v>661</v>
      </c>
    </row>
    <row r="409" spans="1:3">
      <c r="A409" s="2" t="s">
        <v>826</v>
      </c>
      <c r="B409" s="2"/>
      <c r="C409" s="2" t="s">
        <v>825</v>
      </c>
    </row>
    <row r="410" spans="1:3">
      <c r="A410" s="2" t="s">
        <v>830</v>
      </c>
      <c r="B410" s="2"/>
      <c r="C410" s="2" t="s">
        <v>829</v>
      </c>
    </row>
    <row r="411" spans="1:3">
      <c r="A411" s="2" t="s">
        <v>834</v>
      </c>
      <c r="B411" s="2"/>
      <c r="C411" s="2" t="s">
        <v>833</v>
      </c>
    </row>
    <row r="412" spans="1:3">
      <c r="A412" s="2" t="s">
        <v>974</v>
      </c>
      <c r="B412" s="2"/>
      <c r="C412" s="2" t="s">
        <v>973</v>
      </c>
    </row>
    <row r="413" spans="1:3">
      <c r="A413" s="2" t="s">
        <v>979</v>
      </c>
      <c r="B413" s="2"/>
      <c r="C413" s="2" t="s">
        <v>978</v>
      </c>
    </row>
    <row r="414" spans="1:3">
      <c r="A414" s="2" t="s">
        <v>666</v>
      </c>
      <c r="B414" s="2"/>
      <c r="C414" s="2" t="s">
        <v>665</v>
      </c>
    </row>
    <row r="415" spans="1:3">
      <c r="A415" s="2" t="s">
        <v>670</v>
      </c>
      <c r="B415" s="2"/>
      <c r="C415" s="2" t="s">
        <v>669</v>
      </c>
    </row>
    <row r="416" spans="1:3">
      <c r="A416" s="2" t="s">
        <v>674</v>
      </c>
      <c r="B416" s="2"/>
      <c r="C416" s="2" t="s">
        <v>673</v>
      </c>
    </row>
    <row r="417" spans="1:3">
      <c r="A417" s="2" t="s">
        <v>838</v>
      </c>
      <c r="B417" s="2"/>
      <c r="C417" s="2" t="s">
        <v>837</v>
      </c>
    </row>
    <row r="418" spans="1:3">
      <c r="A418" s="2" t="s">
        <v>842</v>
      </c>
      <c r="B418" s="2"/>
      <c r="C418" s="2" t="s">
        <v>841</v>
      </c>
    </row>
    <row r="419" spans="1:3">
      <c r="A419" s="2" t="s">
        <v>478</v>
      </c>
      <c r="B419" s="2"/>
      <c r="C419" s="2" t="s">
        <v>477</v>
      </c>
    </row>
    <row r="420" spans="1:3">
      <c r="A420" s="2" t="s">
        <v>678</v>
      </c>
      <c r="B420" s="2"/>
      <c r="C420" s="2" t="s">
        <v>677</v>
      </c>
    </row>
    <row r="421" spans="1:3">
      <c r="A421" s="2" t="s">
        <v>846</v>
      </c>
      <c r="B421" s="2"/>
      <c r="C421" s="2" t="s">
        <v>845</v>
      </c>
    </row>
    <row r="422" spans="1:3">
      <c r="A422" s="2" t="s">
        <v>682</v>
      </c>
      <c r="B422" s="2"/>
      <c r="C422" s="2" t="s">
        <v>681</v>
      </c>
    </row>
    <row r="423" spans="1:3">
      <c r="A423" s="2" t="s">
        <v>850</v>
      </c>
      <c r="B423" s="2"/>
      <c r="C423" s="2" t="s">
        <v>849</v>
      </c>
    </row>
    <row r="424" spans="1:3">
      <c r="A424" s="2" t="s">
        <v>686</v>
      </c>
      <c r="B424" s="2"/>
      <c r="C424" s="2" t="s">
        <v>685</v>
      </c>
    </row>
    <row r="425" spans="1:3">
      <c r="A425" s="2" t="s">
        <v>854</v>
      </c>
      <c r="B425" s="2"/>
      <c r="C425" s="2" t="s">
        <v>853</v>
      </c>
    </row>
    <row r="426" spans="1:3">
      <c r="A426" s="2" t="s">
        <v>858</v>
      </c>
      <c r="B426" s="2"/>
      <c r="C426" s="2" t="s">
        <v>857</v>
      </c>
    </row>
    <row r="427" spans="1:3">
      <c r="A427" s="2" t="s">
        <v>862</v>
      </c>
      <c r="B427" s="2"/>
      <c r="C427" s="2" t="s">
        <v>861</v>
      </c>
    </row>
    <row r="428" spans="1:3">
      <c r="A428" s="2" t="s">
        <v>690</v>
      </c>
      <c r="B428" s="2"/>
      <c r="C428" s="2" t="s">
        <v>689</v>
      </c>
    </row>
    <row r="429" spans="1:3">
      <c r="A429" s="2" t="s">
        <v>866</v>
      </c>
      <c r="B429" s="2"/>
      <c r="C429" s="2" t="s">
        <v>865</v>
      </c>
    </row>
    <row r="430" spans="1:3">
      <c r="A430" s="2" t="s">
        <v>983</v>
      </c>
      <c r="B430" s="2"/>
      <c r="C430" s="2" t="s">
        <v>982</v>
      </c>
    </row>
    <row r="431" spans="1:3">
      <c r="A431" s="2" t="s">
        <v>987</v>
      </c>
      <c r="B431" s="2"/>
      <c r="C431" s="2" t="s">
        <v>986</v>
      </c>
    </row>
    <row r="432" spans="1:3">
      <c r="A432" s="2" t="s">
        <v>694</v>
      </c>
      <c r="B432" s="2"/>
      <c r="C432" s="2" t="s">
        <v>693</v>
      </c>
    </row>
    <row r="433" spans="1:3">
      <c r="A433" s="2" t="s">
        <v>870</v>
      </c>
      <c r="B433" s="2"/>
      <c r="C433" s="2" t="s">
        <v>869</v>
      </c>
    </row>
    <row r="434" spans="1:3">
      <c r="A434" s="2" t="s">
        <v>874</v>
      </c>
      <c r="B434" s="2"/>
      <c r="C434" s="2" t="s">
        <v>873</v>
      </c>
    </row>
    <row r="435" spans="1:3">
      <c r="A435" s="2" t="s">
        <v>990</v>
      </c>
      <c r="B435" s="2"/>
      <c r="C435" s="2" t="s">
        <v>989</v>
      </c>
    </row>
    <row r="436" spans="1:3">
      <c r="A436" s="2" t="s">
        <v>482</v>
      </c>
      <c r="B436" s="2"/>
      <c r="C436" s="2" t="s">
        <v>481</v>
      </c>
    </row>
    <row r="437" spans="1:3">
      <c r="A437" s="2" t="s">
        <v>698</v>
      </c>
      <c r="B437" s="2"/>
      <c r="C437" s="2" t="s">
        <v>697</v>
      </c>
    </row>
    <row r="438" spans="1:3">
      <c r="A438" s="2" t="s">
        <v>878</v>
      </c>
      <c r="B438" s="2"/>
      <c r="C438" s="2" t="s">
        <v>877</v>
      </c>
    </row>
    <row r="439" spans="1:3">
      <c r="A439" s="2" t="s">
        <v>882</v>
      </c>
      <c r="B439" s="2"/>
      <c r="C439" s="2" t="s">
        <v>881</v>
      </c>
    </row>
    <row r="440" spans="1:3">
      <c r="A440" s="2" t="s">
        <v>886</v>
      </c>
      <c r="B440" s="2"/>
      <c r="C440" s="2" t="s">
        <v>885</v>
      </c>
    </row>
    <row r="441" spans="1:3">
      <c r="A441" s="2" t="s">
        <v>486</v>
      </c>
      <c r="B441" s="2"/>
      <c r="C441" s="2" t="s">
        <v>485</v>
      </c>
    </row>
    <row r="442" spans="1:3">
      <c r="A442" s="2" t="s">
        <v>890</v>
      </c>
      <c r="B442" s="2"/>
      <c r="C442" s="2" t="s">
        <v>889</v>
      </c>
    </row>
    <row r="443" spans="1:3">
      <c r="A443" s="2" t="s">
        <v>994</v>
      </c>
      <c r="B443" s="2"/>
      <c r="C443" s="2" t="s">
        <v>993</v>
      </c>
    </row>
    <row r="444" spans="1:3">
      <c r="A444" s="2" t="s">
        <v>998</v>
      </c>
      <c r="B444" s="2"/>
      <c r="C444" s="2" t="s">
        <v>997</v>
      </c>
    </row>
    <row r="445" spans="1:3">
      <c r="A445" s="2" t="s">
        <v>490</v>
      </c>
      <c r="B445" s="2"/>
      <c r="C445" s="2" t="s">
        <v>489</v>
      </c>
    </row>
    <row r="446" spans="1:3">
      <c r="A446" s="2" t="s">
        <v>702</v>
      </c>
      <c r="B446" s="2"/>
      <c r="C446" s="2" t="s">
        <v>701</v>
      </c>
    </row>
    <row r="447" spans="1:3">
      <c r="A447" s="2" t="s">
        <v>894</v>
      </c>
      <c r="B447" s="2"/>
      <c r="C447" s="2" t="s">
        <v>893</v>
      </c>
    </row>
    <row r="448" spans="1:3">
      <c r="A448" s="2" t="s">
        <v>706</v>
      </c>
      <c r="B448" s="2"/>
      <c r="C448" s="2" t="s">
        <v>705</v>
      </c>
    </row>
    <row r="449" spans="1:3">
      <c r="A449" s="2" t="s">
        <v>898</v>
      </c>
      <c r="B449" s="2"/>
      <c r="C449" s="2" t="s">
        <v>897</v>
      </c>
    </row>
    <row r="450" spans="1:3">
      <c r="A450" s="2" t="s">
        <v>902</v>
      </c>
      <c r="B450" s="2"/>
      <c r="C450" s="2" t="s">
        <v>901</v>
      </c>
    </row>
    <row r="451" spans="1:3">
      <c r="A451" s="2" t="s">
        <v>1002</v>
      </c>
      <c r="B451" s="2"/>
      <c r="C451" s="2" t="s">
        <v>1001</v>
      </c>
    </row>
    <row r="452" spans="1:3">
      <c r="A452" s="2" t="s">
        <v>1006</v>
      </c>
      <c r="B452" s="2"/>
      <c r="C452" s="2" t="s">
        <v>1005</v>
      </c>
    </row>
    <row r="453" spans="1:3">
      <c r="A453" s="2" t="s">
        <v>494</v>
      </c>
      <c r="B453" s="2"/>
      <c r="C453" s="2" t="s">
        <v>493</v>
      </c>
    </row>
    <row r="454" spans="1:3">
      <c r="A454" s="2" t="s">
        <v>498</v>
      </c>
      <c r="B454" s="2"/>
      <c r="C454" s="2" t="s">
        <v>497</v>
      </c>
    </row>
    <row r="455" spans="1:3">
      <c r="A455" s="2" t="s">
        <v>710</v>
      </c>
      <c r="B455" s="2"/>
      <c r="C455" s="2" t="s">
        <v>709</v>
      </c>
    </row>
    <row r="456" spans="1:3">
      <c r="A456" s="2" t="s">
        <v>714</v>
      </c>
      <c r="B456" s="2"/>
      <c r="C456" s="2" t="s">
        <v>713</v>
      </c>
    </row>
    <row r="457" spans="1:3">
      <c r="A457" s="2" t="s">
        <v>906</v>
      </c>
      <c r="B457" s="2"/>
      <c r="C457" s="2" t="s">
        <v>905</v>
      </c>
    </row>
    <row r="458" spans="1:3">
      <c r="A458" s="2" t="s">
        <v>1010</v>
      </c>
      <c r="B458" s="2"/>
      <c r="C458" s="2" t="s">
        <v>1009</v>
      </c>
    </row>
    <row r="459" spans="1:3">
      <c r="A459" s="2" t="s">
        <v>909</v>
      </c>
      <c r="B459" s="2"/>
      <c r="C459" s="2" t="s">
        <v>908</v>
      </c>
    </row>
    <row r="460" spans="1:3">
      <c r="A460" s="2" t="s">
        <v>1014</v>
      </c>
      <c r="B460" s="2"/>
      <c r="C460" s="2" t="s">
        <v>1013</v>
      </c>
    </row>
    <row r="461" spans="1:3">
      <c r="A461" s="2" t="s">
        <v>913</v>
      </c>
      <c r="B461" s="2"/>
      <c r="C461" s="2" t="s">
        <v>912</v>
      </c>
    </row>
    <row r="462" spans="1:3">
      <c r="A462" s="2" t="s">
        <v>1018</v>
      </c>
      <c r="B462" s="2"/>
      <c r="C462" s="2" t="s">
        <v>1017</v>
      </c>
    </row>
    <row r="463" spans="1:3">
      <c r="A463" s="2" t="s">
        <v>502</v>
      </c>
      <c r="B463" s="2"/>
      <c r="C463" s="2" t="s">
        <v>501</v>
      </c>
    </row>
    <row r="464" spans="1:3">
      <c r="A464" s="2" t="s">
        <v>917</v>
      </c>
      <c r="B464" s="2"/>
      <c r="C464" s="2" t="s">
        <v>916</v>
      </c>
    </row>
    <row r="465" spans="1:3">
      <c r="A465" s="2" t="s">
        <v>1022</v>
      </c>
      <c r="B465" s="2"/>
      <c r="C465" s="2" t="s">
        <v>1021</v>
      </c>
    </row>
    <row r="466" spans="1:3">
      <c r="A466" s="2" t="s">
        <v>1062</v>
      </c>
      <c r="B466" s="2"/>
      <c r="C466" s="2" t="s">
        <v>1061</v>
      </c>
    </row>
    <row r="467" spans="1:3">
      <c r="A467" s="2" t="s">
        <v>1067</v>
      </c>
      <c r="B467" s="2"/>
      <c r="C467" s="2" t="s">
        <v>1066</v>
      </c>
    </row>
    <row r="468" spans="1:3">
      <c r="A468" s="2" t="s">
        <v>718</v>
      </c>
      <c r="B468" s="2"/>
      <c r="C468" s="2" t="s">
        <v>717</v>
      </c>
    </row>
    <row r="469" spans="1:3">
      <c r="A469" s="2" t="s">
        <v>722</v>
      </c>
      <c r="B469" s="2"/>
      <c r="C469" s="2" t="s">
        <v>721</v>
      </c>
    </row>
    <row r="470" spans="1:3">
      <c r="A470" s="2" t="s">
        <v>726</v>
      </c>
      <c r="B470" s="2"/>
      <c r="C470" s="2" t="s">
        <v>725</v>
      </c>
    </row>
    <row r="471" spans="1:3">
      <c r="A471" s="2" t="s">
        <v>730</v>
      </c>
      <c r="B471" s="2"/>
      <c r="C471" s="2" t="s">
        <v>729</v>
      </c>
    </row>
    <row r="472" spans="1:3">
      <c r="A472" s="2" t="s">
        <v>734</v>
      </c>
      <c r="B472" s="2"/>
      <c r="C472" s="2" t="s">
        <v>733</v>
      </c>
    </row>
    <row r="473" spans="1:3">
      <c r="A473" s="2" t="s">
        <v>738</v>
      </c>
      <c r="B473" s="2"/>
      <c r="C473" s="2" t="s">
        <v>737</v>
      </c>
    </row>
    <row r="474" spans="1:3">
      <c r="A474" s="2" t="s">
        <v>1079</v>
      </c>
      <c r="B474" s="2"/>
      <c r="C474" s="2" t="s">
        <v>1078</v>
      </c>
    </row>
    <row r="475" spans="1:3">
      <c r="A475" s="2" t="s">
        <v>741</v>
      </c>
      <c r="B475" s="2"/>
      <c r="C475" s="2" t="s">
        <v>740</v>
      </c>
    </row>
    <row r="476" spans="1:3">
      <c r="A476" s="2" t="s">
        <v>745</v>
      </c>
      <c r="B476" s="2"/>
      <c r="C476" s="2" t="s">
        <v>744</v>
      </c>
    </row>
    <row r="477" spans="1:3">
      <c r="A477" s="2" t="s">
        <v>1071</v>
      </c>
      <c r="B477" s="2"/>
      <c r="C477" s="2" t="s">
        <v>1070</v>
      </c>
    </row>
    <row r="478" spans="1:3">
      <c r="A478" s="2" t="s">
        <v>506</v>
      </c>
      <c r="B478" s="2"/>
      <c r="C478" s="2" t="s">
        <v>505</v>
      </c>
    </row>
    <row r="479" spans="1:3">
      <c r="A479" s="2" t="s">
        <v>749</v>
      </c>
      <c r="B479" s="2"/>
      <c r="C479" s="2" t="s">
        <v>748</v>
      </c>
    </row>
    <row r="480" spans="1:3">
      <c r="A480" s="2" t="s">
        <v>921</v>
      </c>
      <c r="B480" s="2"/>
      <c r="C480" s="2" t="s">
        <v>920</v>
      </c>
    </row>
    <row r="481" spans="1:3">
      <c r="A481" s="2" t="s">
        <v>924</v>
      </c>
      <c r="B481" s="2"/>
      <c r="C481" s="2" t="s">
        <v>923</v>
      </c>
    </row>
    <row r="482" spans="1:3">
      <c r="A482" s="2" t="s">
        <v>1026</v>
      </c>
      <c r="B482" s="2"/>
      <c r="C482" s="2" t="s">
        <v>1025</v>
      </c>
    </row>
    <row r="483" spans="1:3">
      <c r="A483" s="2" t="s">
        <v>510</v>
      </c>
      <c r="B483" s="2"/>
      <c r="C483" s="2" t="s">
        <v>509</v>
      </c>
    </row>
    <row r="484" spans="1:3">
      <c r="A484" s="2" t="s">
        <v>928</v>
      </c>
      <c r="B484" s="2"/>
      <c r="C484" s="2" t="s">
        <v>927</v>
      </c>
    </row>
    <row r="485" spans="1:3">
      <c r="A485" s="2" t="s">
        <v>1030</v>
      </c>
      <c r="B485" s="2"/>
      <c r="C485" s="2" t="s">
        <v>1029</v>
      </c>
    </row>
    <row r="486" spans="1:3">
      <c r="A486" s="2" t="s">
        <v>1034</v>
      </c>
      <c r="B486" s="2"/>
      <c r="C486" s="2" t="s">
        <v>1033</v>
      </c>
    </row>
    <row r="487" spans="1:3">
      <c r="A487" s="2" t="s">
        <v>1038</v>
      </c>
      <c r="B487" s="2"/>
      <c r="C487" s="2" t="s">
        <v>1037</v>
      </c>
    </row>
    <row r="488" spans="1:3">
      <c r="A488" s="2" t="s">
        <v>1075</v>
      </c>
      <c r="B488" s="2"/>
      <c r="C488" s="2" t="s">
        <v>1074</v>
      </c>
    </row>
    <row r="489" spans="1:3">
      <c r="A489" s="2" t="s">
        <v>514</v>
      </c>
      <c r="B489" s="2"/>
      <c r="C489" s="2" t="s">
        <v>513</v>
      </c>
    </row>
    <row r="490" spans="1:3">
      <c r="A490" s="2" t="s">
        <v>753</v>
      </c>
      <c r="B490" s="2"/>
      <c r="C490" s="2" t="s">
        <v>752</v>
      </c>
    </row>
    <row r="491" spans="1:3">
      <c r="A491" s="2" t="s">
        <v>757</v>
      </c>
      <c r="B491" s="2"/>
      <c r="C491" s="2" t="s">
        <v>756</v>
      </c>
    </row>
    <row r="492" spans="1:3">
      <c r="A492" s="2" t="s">
        <v>932</v>
      </c>
      <c r="B492" s="2"/>
      <c r="C492" s="2" t="s">
        <v>931</v>
      </c>
    </row>
    <row r="493" spans="1:3">
      <c r="A493" s="2" t="s">
        <v>936</v>
      </c>
      <c r="B493" s="2"/>
      <c r="C493" s="2" t="s">
        <v>935</v>
      </c>
    </row>
    <row r="494" spans="1:3">
      <c r="A494" s="2" t="s">
        <v>1042</v>
      </c>
      <c r="B494" s="2"/>
      <c r="C494" s="2" t="s">
        <v>1041</v>
      </c>
    </row>
    <row r="495" spans="1:3">
      <c r="A495" s="2" t="s">
        <v>940</v>
      </c>
      <c r="B495" s="2"/>
      <c r="C495" s="2" t="s">
        <v>939</v>
      </c>
    </row>
    <row r="496" spans="1:3">
      <c r="A496" s="2" t="s">
        <v>761</v>
      </c>
      <c r="B496" s="2"/>
      <c r="C496" s="2" t="s">
        <v>760</v>
      </c>
    </row>
    <row r="497" spans="1:3">
      <c r="A497" s="2" t="s">
        <v>944</v>
      </c>
      <c r="B497" s="2"/>
      <c r="C497" s="2" t="s">
        <v>943</v>
      </c>
    </row>
    <row r="498" spans="1:3">
      <c r="A498" s="2" t="s">
        <v>948</v>
      </c>
      <c r="B498" s="2"/>
      <c r="C498" s="2" t="s">
        <v>947</v>
      </c>
    </row>
    <row r="499" spans="1:3">
      <c r="A499" s="2" t="s">
        <v>952</v>
      </c>
      <c r="B499" s="2"/>
      <c r="C499" s="2" t="s">
        <v>951</v>
      </c>
    </row>
    <row r="500" spans="1:3">
      <c r="A500" s="2" t="s">
        <v>1046</v>
      </c>
      <c r="B500" s="2"/>
      <c r="C500" s="2" t="s">
        <v>1045</v>
      </c>
    </row>
    <row r="501" spans="1:3">
      <c r="A501" s="2" t="s">
        <v>1050</v>
      </c>
      <c r="B501" s="2"/>
      <c r="C501" s="2" t="s">
        <v>1049</v>
      </c>
    </row>
    <row r="502" spans="1:3">
      <c r="A502" s="2" t="s">
        <v>765</v>
      </c>
      <c r="B502" s="2"/>
      <c r="C502" s="2" t="s">
        <v>764</v>
      </c>
    </row>
    <row r="503" spans="1:3">
      <c r="A503" s="2" t="s">
        <v>955</v>
      </c>
      <c r="B503" s="2"/>
      <c r="C503" s="2" t="s">
        <v>954</v>
      </c>
    </row>
    <row r="504" spans="1:3">
      <c r="A504" s="2" t="s">
        <v>958</v>
      </c>
      <c r="B504" s="2"/>
      <c r="C504" s="2" t="s">
        <v>957</v>
      </c>
    </row>
    <row r="505" spans="1:3">
      <c r="A505" s="2" t="s">
        <v>1054</v>
      </c>
      <c r="B505" s="2"/>
      <c r="C505" s="2" t="s">
        <v>1053</v>
      </c>
    </row>
    <row r="506" spans="1:3">
      <c r="A506" s="2" t="s">
        <v>1058</v>
      </c>
      <c r="B506" s="2"/>
      <c r="C506" s="2" t="s">
        <v>1057</v>
      </c>
    </row>
    <row r="507" spans="1:3">
      <c r="A507" s="2" t="s">
        <v>769</v>
      </c>
      <c r="B507" s="2"/>
      <c r="C507" s="2" t="s">
        <v>768</v>
      </c>
    </row>
    <row r="508" spans="1:3">
      <c r="A508" s="2" t="s">
        <v>773</v>
      </c>
      <c r="B508" s="2"/>
      <c r="C508" s="2" t="s">
        <v>772</v>
      </c>
    </row>
    <row r="509" spans="1:3">
      <c r="A509" s="2" t="s">
        <v>962</v>
      </c>
      <c r="B509" s="2"/>
      <c r="C509" s="2" t="s">
        <v>961</v>
      </c>
    </row>
    <row r="510" spans="1:3">
      <c r="A510" s="2" t="s">
        <v>777</v>
      </c>
      <c r="B510" s="2"/>
      <c r="C510" s="2" t="s">
        <v>776</v>
      </c>
    </row>
    <row r="511" spans="1:3">
      <c r="A511" s="2" t="s">
        <v>966</v>
      </c>
      <c r="B511" s="2"/>
      <c r="C511" s="2" t="s">
        <v>965</v>
      </c>
    </row>
    <row r="512" spans="1:3">
      <c r="A512" s="2" t="s">
        <v>518</v>
      </c>
      <c r="B512" s="2"/>
      <c r="C512" s="2" t="s">
        <v>517</v>
      </c>
    </row>
    <row r="513" spans="1:3">
      <c r="A513" s="2" t="s">
        <v>522</v>
      </c>
      <c r="B513" s="2"/>
      <c r="C513" s="2" t="s">
        <v>521</v>
      </c>
    </row>
    <row r="514" spans="1:3">
      <c r="A514" s="2" t="s">
        <v>781</v>
      </c>
      <c r="B514" s="2"/>
      <c r="C514" s="2" t="s">
        <v>780</v>
      </c>
    </row>
    <row r="515" spans="1:3">
      <c r="A515" s="2" t="s">
        <v>526</v>
      </c>
      <c r="B515" s="2"/>
      <c r="C515" s="2" t="s">
        <v>525</v>
      </c>
    </row>
    <row r="516" spans="1:3">
      <c r="A516" s="2" t="s">
        <v>785</v>
      </c>
      <c r="B516" s="2"/>
      <c r="C516" s="2" t="s">
        <v>784</v>
      </c>
    </row>
    <row r="517" spans="1:3">
      <c r="A517" s="2" t="s">
        <v>970</v>
      </c>
      <c r="B517" s="2"/>
      <c r="C517" s="2" t="s">
        <v>969</v>
      </c>
    </row>
    <row r="518" spans="1:3">
      <c r="A518" s="2" t="s">
        <v>789</v>
      </c>
      <c r="B518" s="2"/>
      <c r="C518" s="2" t="s">
        <v>788</v>
      </c>
    </row>
    <row r="519" spans="1:3">
      <c r="A519" s="2" t="s">
        <v>17</v>
      </c>
      <c r="B519" s="2"/>
      <c r="C519" s="2"/>
    </row>
    <row r="520" spans="1:3">
      <c r="A520" s="2" t="s">
        <v>530</v>
      </c>
      <c r="B520" s="2"/>
      <c r="C520" s="2" t="s">
        <v>529</v>
      </c>
    </row>
    <row r="521" spans="1:3">
      <c r="A521" s="2" t="s">
        <v>534</v>
      </c>
      <c r="B521" s="2"/>
      <c r="C521" s="2" t="s">
        <v>533</v>
      </c>
    </row>
    <row r="522" spans="1:3">
      <c r="A522" s="2" t="s">
        <v>538</v>
      </c>
      <c r="B522" s="2"/>
      <c r="C522" s="2" t="s">
        <v>537</v>
      </c>
    </row>
    <row r="523" spans="1:3">
      <c r="A523" s="2" t="s">
        <v>542</v>
      </c>
      <c r="B523" s="2"/>
      <c r="C523" s="2" t="s">
        <v>541</v>
      </c>
    </row>
    <row r="524" spans="1:3">
      <c r="A524" s="2" t="s">
        <v>546</v>
      </c>
      <c r="B524" s="2"/>
      <c r="C524" s="2" t="s">
        <v>545</v>
      </c>
    </row>
    <row r="525" spans="1:3">
      <c r="A525" s="2" t="s">
        <v>550</v>
      </c>
      <c r="B525" s="2"/>
      <c r="C525" s="2" t="s">
        <v>549</v>
      </c>
    </row>
    <row r="526" spans="1:3">
      <c r="A526" s="2" t="s">
        <v>554</v>
      </c>
      <c r="B526" s="2"/>
      <c r="C526" s="2" t="s">
        <v>553</v>
      </c>
    </row>
    <row r="527" spans="1:3">
      <c r="A527" s="2" t="s">
        <v>793</v>
      </c>
      <c r="B527" s="2"/>
      <c r="C527" s="2" t="s">
        <v>792</v>
      </c>
    </row>
    <row r="528" spans="1:3">
      <c r="A528" s="2" t="s">
        <v>1092</v>
      </c>
      <c r="B528" s="2"/>
      <c r="C528" s="2" t="s">
        <v>1094</v>
      </c>
    </row>
  </sheetData>
  <autoFilter ref="A1:C262" xr:uid="{92C0BDFD-865A-4EA7-A075-DADDE07F2F43}">
    <filterColumn colId="2">
      <filters>
        <filter val="1325221417096HRHE1"/>
      </filters>
    </filterColumn>
    <sortState xmlns:xlrd2="http://schemas.microsoft.com/office/spreadsheetml/2017/richdata2" ref="A2:C262">
      <sortCondition sortBy="cellColor" ref="C1:C262" dxfId="0"/>
    </sortState>
  </autoFilter>
  <conditionalFormatting sqref="A1:A1048576">
    <cfRule type="duplicateValues" dxfId="2" priority="2"/>
  </conditionalFormatting>
  <conditionalFormatting sqref="C1:C1048576">
    <cfRule type="duplicateValues" dxfId="1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Klassify>
  <SNO>1</SNO>
  <KDate>2026-05-23 00:30:48</KDate>
  <Classification>INTERNAL</Classification>
  <Subclassification/>
  <HostName>JKTICTPLT-616</HostName>
  <Domain_User>JKTI/16583</Domain_User>
  <IPAdd>192.168.0.163</IPAdd>
  <FilePath>C:\Users\16583\Desktop\Copy of PCR GT AND FG CODE MASTER 21.05.2026.xlsx</FilePath>
  <KID>30E3A4D113D9639150930487527877</KID>
  <UniqueName/>
  <Suggested/>
  <Justification/>
  <KlassifyGUID>6e793db6-acda-4c7c-9f7b-908755f085b0</KlassifyGUID>
</Klassify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70A9BB-0C75-4291-B31A-D276E6F7AFED}"/>
</file>

<file path=customXml/itemProps2.xml><?xml version="1.0" encoding="utf-8"?>
<ds:datastoreItem xmlns:ds="http://schemas.openxmlformats.org/officeDocument/2006/customXml" ds:itemID="{483CCD6C-3241-4FF3-9541-79E1F54CF360}"/>
</file>

<file path=customXml/itemProps3.xml><?xml version="1.0" encoding="utf-8"?>
<ds:datastoreItem xmlns:ds="http://schemas.openxmlformats.org/officeDocument/2006/customXml" ds:itemID="{3F16E6DC-761A-453F-B920-C4FB719BBBE9}"/>
</file>

<file path=customXml/itemProps4.xml><?xml version="1.0" encoding="utf-8"?>
<ds:datastoreItem xmlns:ds="http://schemas.openxmlformats.org/officeDocument/2006/customXml" ds:itemID="{AD739E28-7897-4846-921A-924BD60AB8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Arul L</dc:creator>
  <cp:keywords>INTERNAL</cp:keywords>
  <dc:description/>
  <cp:lastModifiedBy>Tanya Joshi</cp:lastModifiedBy>
  <cp:revision/>
  <dcterms:created xsi:type="dcterms:W3CDTF">2026-05-21T11:26:12Z</dcterms:created>
  <dcterms:modified xsi:type="dcterms:W3CDTF">2026-08-07T05:56:15Z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6e793db6-acda-4c7c-9f7b-908755f085b0</vt:lpwstr>
  </property>
  <property fmtid="{D5CDD505-2E9C-101B-9397-08002B2CF9AE}" pid="3" name="Classification">
    <vt:lpwstr>INTERNAL</vt:lpwstr>
  </property>
  <property fmtid="{D5CDD505-2E9C-101B-9397-08002B2CF9AE}" pid="4" name="KID">
    <vt:lpwstr>30E3A4D113D9639150930487527877</vt:lpwstr>
  </property>
  <property fmtid="{D5CDD505-2E9C-101B-9397-08002B2CF9AE}" pid="5" name="ContentTypeId">
    <vt:lpwstr>0x0101000F2598ACC80DA6469323BF12BDA2E861</vt:lpwstr>
  </property>
</Properties>
</file>